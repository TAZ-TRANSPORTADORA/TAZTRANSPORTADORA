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b0959922b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" sheetId="1" r:id="Rcc7fbea6b719415b"/>
    <x:sheet xmlns:r="http://schemas.openxmlformats.org/officeDocument/2006/relationships" name="VINICIUS DE CONTO" sheetId="2" r:id="Rc41d6d43fa114d19"/>
    <x:sheet xmlns:r="http://schemas.openxmlformats.org/officeDocument/2006/relationships" name="Contas a Pagar e Receber" sheetId="3" r:id="Rc40c0928e7a74cdc"/>
    <x:sheet xmlns:r="http://schemas.openxmlformats.org/officeDocument/2006/relationships" name="APP_VIAGENS" sheetId="4" r:id="Rabc7269ae49143c3"/>
    <x:sheet xmlns:r="http://schemas.openxmlformats.org/officeDocument/2006/relationships" name="APP_ABASTECIMENTOS" sheetId="5" r:id="R515470f7bbe04be6"/>
    <x:sheet xmlns:r="http://schemas.openxmlformats.org/officeDocument/2006/relationships" name="CAD_MOTORISTAS" sheetId="6" r:id="R3695df087b23466e"/>
    <x:sheet xmlns:r="http://schemas.openxmlformats.org/officeDocument/2006/relationships" name="CAD_CAVALOS" sheetId="7" r:id="Rafd601fc14e84559"/>
    <x:sheet xmlns:r="http://schemas.openxmlformats.org/officeDocument/2006/relationships" name="CAD_CARRETAS" sheetId="8" r:id="Re639871a6833425d"/>
  </x:sheets>
  <x:definedNames>
    <x:definedName name="Account">#REF!</x:definedName>
    <x:definedName name="AccountCode">#REF!</x:definedName>
    <x:definedName name="Comment">#REF!</x:definedName>
    <x:definedName name="ComponentN">#REF!</x:definedName>
    <x:definedName name="DeliveryTime">#REF!</x:definedName>
    <x:definedName name="Department">#REF!</x:definedName>
    <x:definedName name="MainSupRef">#REF!</x:definedName>
    <x:definedName name="Maker">#REF!</x:definedName>
    <x:definedName name="MakersType">#REF!</x:definedName>
    <x:definedName name="OrderType">#REF!</x:definedName>
    <x:definedName name="PriceEach">#REF!</x:definedName>
    <x:definedName name="SerialNo">#REF!</x:definedName>
    <x:definedName name="Specification">#REF!</x:definedName>
    <x:definedName name="Subject">#REF!</x:definedName>
    <x:definedName name="SupCompanyN">#REF!</x:definedName>
    <x:definedName name="SupCurr">#REF!</x:definedName>
    <x:definedName name="VesselCode">#REF!</x:definedName>
    <x:definedName name="VesselName">#REF!</x:definedName>
  </x:definedNames>
</x:workbook>
</file>

<file path=xl/sharedStrings.xml><?xml version="1.0" encoding="utf-8"?>
<x:sst xmlns:x="http://schemas.openxmlformats.org/spreadsheetml/2006/main">
  <x:si>
    <x:t xml:space="preserve">Data</x:t>
  </x:si>
  <x:si>
    <x:t xml:space="preserve">Motorista</x:t>
  </x:si>
  <x:si>
    <x:t xml:space="preserve">Empresa</x:t>
  </x:si>
  <x:si>
    <x:t xml:space="preserve">Veículo</x:t>
  </x:si>
  <x:si>
    <x:t xml:space="preserve">KM Rodado</x:t>
  </x:si>
  <x:si>
    <x:t xml:space="preserve">Litros</x:t>
  </x:si>
  <x:si>
    <x:t xml:space="preserve">Média KM/L</x:t>
  </x:si>
  <x:si>
    <x:t xml:space="preserve">Valor Diesel</x:t>
  </x:si>
  <x:si>
    <x:t xml:space="preserve">Velocidade Média</x:t>
  </x:si>
  <x:si>
    <x:t xml:space="preserve">Máx. Velocidade</x:t>
  </x:si>
  <x:si>
    <x:t xml:space="preserve">ADRIANO</x:t>
  </x:si>
  <x:si>
    <x:t xml:space="preserve">PRATAZIL</x:t>
  </x:si>
  <x:si>
    <x:t xml:space="preserve">BAÚ REFRIGERADA</x:t>
  </x:si>
  <x:si>
    <x:t xml:space="preserve">ALEXANDRE</x:t>
  </x:si>
  <x:si>
    <x:t xml:space="preserve">BAÚ SECO</x:t>
  </x:si>
  <x:si>
    <x:t xml:space="preserve">CLAUDIO</x:t>
  </x:si>
  <x:si>
    <x:t xml:space="preserve">TAZ</x:t>
  </x:si>
  <x:si>
    <x:t xml:space="preserve">ELENILSON</x:t>
  </x:si>
  <x:si>
    <x:t xml:space="preserve">ERNESTY</x:t>
  </x:si>
  <x:si>
    <x:t xml:space="preserve">CARGA SECA</x:t>
  </x:si>
  <x:si>
    <x:t xml:space="preserve">EZEQUIEL</x:t>
  </x:si>
  <x:si>
    <x:t xml:space="preserve">RAIZ</x:t>
  </x:si>
  <x:si>
    <x:t xml:space="preserve">BITRUCK</x:t>
  </x:si>
  <x:si>
    <x:t xml:space="preserve">JUSCELINO</x:t>
  </x:si>
  <x:si>
    <x:t xml:space="preserve">REINAN</x:t>
  </x:si>
  <x:si>
    <x:t xml:space="preserve">VINICIUS</x:t>
  </x:si>
  <x:si>
    <x:t xml:space="preserve">BITRUCK REFRIGERADO</x:t>
  </x:si>
  <x:si>
    <x:t xml:space="preserve">WANDERSON</x:t>
  </x:si>
  <x:si>
    <x:t xml:space="preserve">-</x:t>
  </x:si>
  <x:si>
    <x:t xml:space="preserve">WEVERTON</x:t>
  </x:si>
  <x:si>
    <x:t xml:space="preserve">RILUCA</x:t>
  </x:si>
  <x:si>
    <x:t xml:space="preserve">CONDUTOR</x:t>
  </x:si>
  <x:si>
    <x:t xml:space="preserve">EMPRESA</x:t>
  </x:si>
  <x:si>
    <x:t xml:space="preserve">CATEGORIA</x:t>
  </x:si>
  <x:si>
    <x:t xml:space="preserve">VELOCIDADE IDEAL</x:t>
  </x:si>
  <x:si>
    <x:t xml:space="preserve">VELOCIDADE MÁXIMA PERMITIDA</x:t>
  </x:si>
  <x:si>
    <x:t xml:space="preserve">MÉDIA RUIM</x:t>
  </x:si>
  <x:si>
    <x:t xml:space="preserve">MÉDIA REGULAR</x:t>
  </x:si>
  <x:si>
    <x:t xml:space="preserve">MÉDIA EXCELENTE</x:t>
  </x:si>
  <x:si>
    <x:t xml:space="preserve">PLACAS</x:t>
  </x:si>
  <x:si>
    <x:t xml:space="preserve">ADRIANO PONTE</x:t>
  </x:si>
  <x:si>
    <x:t xml:space="preserve">2.4</x:t>
  </x:si>
  <x:si>
    <x:t xml:space="preserve">2.6</x:t>
  </x:si>
  <x:si>
    <x:t xml:space="preserve">2.8</x:t>
  </x:si>
  <x:si>
    <x:t xml:space="preserve">SRJ7G60</x:t>
  </x:si>
  <x:si>
    <x:t xml:space="preserve">CLAUDIO MARCIO</x:t>
  </x:si>
  <x:si>
    <x:t xml:space="preserve">SRO5A91</x:t>
  </x:si>
  <x:si>
    <x:t xml:space="preserve">WEVERTON SILVA</x:t>
  </x:si>
  <x:si>
    <x:t xml:space="preserve">SRY7I24</x:t>
  </x:si>
  <x:si>
    <x:t xml:space="preserve">WANDERSON PINHEIRO</x:t>
  </x:si>
  <x:si>
    <x:t xml:space="preserve">2.5</x:t>
  </x:si>
  <x:si>
    <x:t xml:space="preserve">2.7</x:t>
  </x:si>
  <x:si>
    <x:t xml:space="preserve">3.0</x:t>
  </x:si>
  <x:si>
    <x:t xml:space="preserve">SRM1E04</x:t>
  </x:si>
  <x:si>
    <x:t xml:space="preserve">ERNESTY NASCIMENTO</x:t>
  </x:si>
  <x:si>
    <x:t xml:space="preserve">SRH1E01</x:t>
  </x:si>
  <x:si>
    <x:t xml:space="preserve">ELENILSON AZEVEDO</x:t>
  </x:si>
  <x:si>
    <x:t xml:space="preserve">SQW3B13</x:t>
  </x:si>
  <x:si>
    <x:t xml:space="preserve">ALEXANDRE FERRAZ</x:t>
  </x:si>
  <x:si>
    <x:t xml:space="preserve">SRC9D09</x:t>
  </x:si>
  <x:si>
    <x:t xml:space="preserve">VINICIUS DE CONTO</x:t>
  </x:si>
  <x:si>
    <x:t xml:space="preserve">3.2</x:t>
  </x:si>
  <x:si>
    <x:t xml:space="preserve">AHQ3I00</x:t>
  </x:si>
  <x:si>
    <x:t xml:space="preserve">3.4</x:t>
  </x:si>
  <x:si>
    <x:t xml:space="preserve">3.6</x:t>
  </x:si>
  <x:si>
    <x:t xml:space="preserve">TTL7A43</x:t>
  </x:si>
  <x:si>
    <x:t xml:space="preserve">TUB2I41</x:t>
  </x:si>
  <x:si>
    <x:t xml:space="preserve">EZEQUIEL DA FONSSECA</x:t>
  </x:si>
  <x:si>
    <x:t xml:space="preserve">TUL2B13</x:t>
  </x:si>
  <x:si>
    <x:t xml:space="preserve">NOME</x:t>
  </x:si>
  <x:si>
    <x:t xml:space="preserve">Baixa</x:t>
  </x:si>
  <x:si>
    <x:t xml:space="preserve">mês</x:t>
  </x:si>
  <x:si>
    <x:t xml:space="preserve">Tipo</x:t>
  </x:si>
  <x:si>
    <x:t xml:space="preserve">favorecido</x:t>
  </x:si>
  <x:si>
    <x:t xml:space="preserve">Placa</x:t>
  </x:si>
  <x:si>
    <x:t xml:space="preserve">Valor Pago</x:t>
  </x:si>
  <x:si>
    <x:t xml:space="preserve">Crédito / Débito</x:t>
  </x:si>
  <x:si>
    <x:t xml:space="preserve">Status</x:t>
  </x:si>
  <x:si>
    <x:t xml:space="preserve">empresa</x:t>
  </x:si>
  <x:si>
    <x:t xml:space="preserve">Seguro de vida</x:t>
  </x:si>
  <x:si>
    <x:t xml:space="preserve">seguro de vida</x:t>
  </x:si>
  <x:si>
    <x:t xml:space="preserve">Ezequiel</x:t>
  </x:si>
  <x:si>
    <x:t xml:space="preserve">Débito</x:t>
  </x:si>
  <x:si>
    <x:t xml:space="preserve">pago</x:t>
  </x:si>
  <x:si>
    <x:t xml:space="preserve">conserto</x:t>
  </x:si>
  <x:si>
    <x:t xml:space="preserve">Custo Operacional</x:t>
  </x:si>
  <x:si>
    <x:t xml:space="preserve">abastecimento</x:t>
  </x:si>
  <x:si>
    <x:t xml:space="preserve">Vale card</x:t>
  </x:si>
  <x:si>
    <x:t xml:space="preserve">Frete Arthur</x:t>
  </x:si>
  <x:si>
    <x:t xml:space="preserve">frete</x:t>
  </x:si>
  <x:si>
    <x:t xml:space="preserve">Raiz</x:t>
  </x:si>
  <x:si>
    <x:t xml:space="preserve">Crédito</x:t>
  </x:si>
  <x:si>
    <x:t xml:space="preserve">Comissão 10° viagem</x:t>
  </x:si>
  <x:si>
    <x:t xml:space="preserve">Comissão</x:t>
  </x:si>
  <x:si>
    <x:t xml:space="preserve">Frete Minas Rio</x:t>
  </x:si>
  <x:si>
    <x:t xml:space="preserve">Comissão 9° viagem</x:t>
  </x:si>
  <x:si>
    <x:t xml:space="preserve">Comissão 8° viagem</x:t>
  </x:si>
  <x:si>
    <x:t xml:space="preserve">borracharia</x:t>
  </x:si>
  <x:si>
    <x:t xml:space="preserve">Comissão 7° viagem</x:t>
  </x:si>
  <x:si>
    <x:t xml:space="preserve">Frete Elder</x:t>
  </x:si>
  <x:si>
    <x:t xml:space="preserve">Comissão 6° viagem</x:t>
  </x:si>
  <x:si>
    <x:t xml:space="preserve">Seguro Bitruck</x:t>
  </x:si>
  <x:si>
    <x:t xml:space="preserve">Seguro</x:t>
  </x:si>
  <x:si>
    <x:t xml:space="preserve">Porto Seguro</x:t>
  </x:si>
  <x:si>
    <x:t xml:space="preserve">Seguro Baú</x:t>
  </x:si>
  <x:si>
    <x:t xml:space="preserve">Gerenciadora de Risco</x:t>
  </x:si>
  <x:si>
    <x:t xml:space="preserve">Buonny</x:t>
  </x:si>
  <x:si>
    <x:t xml:space="preserve">buonny</x:t>
  </x:si>
  <x:si>
    <x:t xml:space="preserve">Comissão 5° viagem</x:t>
  </x:si>
  <x:si>
    <x:t xml:space="preserve">pedagio</x:t>
  </x:si>
  <x:si>
    <x:t xml:space="preserve">pedágio</x:t>
  </x:si>
  <x:si>
    <x:t xml:space="preserve">sem parar</x:t>
  </x:si>
  <x:si>
    <x:t xml:space="preserve">financiamento</x:t>
  </x:si>
  <x:si>
    <x:t xml:space="preserve">Financiamento</x:t>
  </x:si>
  <x:si>
    <x:t xml:space="preserve">itau</x:t>
  </x:si>
  <x:si>
    <x:t xml:space="preserve">plano de manutenção</x:t>
  </x:si>
  <x:si>
    <x:t xml:space="preserve">manutenção</x:t>
  </x:si>
  <x:si>
    <x:t xml:space="preserve">scania</x:t>
  </x:si>
  <x:si>
    <x:t xml:space="preserve">Simples CTE</x:t>
  </x:si>
  <x:si>
    <x:t xml:space="preserve">Custo Motorista</x:t>
  </x:si>
  <x:si>
    <x:t xml:space="preserve">Salário</x:t>
  </x:si>
  <x:si>
    <x:t xml:space="preserve">Frete Norte</x:t>
  </x:si>
  <x:si>
    <x:t xml:space="preserve">Comissão 4° viagem</x:t>
  </x:si>
  <x:si>
    <x:t xml:space="preserve">Comissão 3° viagem</x:t>
  </x:si>
  <x:si>
    <x:t xml:space="preserve">lavagem</x:t>
  </x:si>
  <x:si>
    <x:t xml:space="preserve">Comissão 2° viagem</x:t>
  </x:si>
  <x:si>
    <x:t xml:space="preserve">Comissão 1° viagem</x:t>
  </x:si>
  <x:si>
    <x:t xml:space="preserve">Frete</x:t>
  </x:si>
  <x:si>
    <x:t xml:space="preserve">Frete Santa Fruta</x:t>
  </x:si>
  <x:si>
    <x:t xml:space="preserve">Frete CF Agro</x:t>
  </x:si>
  <x:si>
    <x:t xml:space="preserve">Frete Adailton</x:t>
  </x:si>
  <x:si>
    <x:t xml:space="preserve">Parc 3 - IPVA 2026</x:t>
  </x:si>
  <x:si>
    <x:t xml:space="preserve">IPVA</x:t>
  </x:si>
  <x:si>
    <x:t xml:space="preserve">RJ</x:t>
  </x:si>
  <x:si>
    <x:t xml:space="preserve">pasi</x:t>
  </x:si>
  <x:si>
    <x:t xml:space="preserve">Frete Andreia - Dom Imperial</x:t>
  </x:si>
  <x:si>
    <x:t xml:space="preserve">Manutenção Carroceria</x:t>
  </x:si>
  <x:si>
    <x:t xml:space="preserve">Pedágio Ref Fevereiro</x:t>
  </x:si>
  <x:si>
    <x:t xml:space="preserve">Pedágio</x:t>
  </x:si>
  <x:si>
    <x:t xml:space="preserve">Sem Parar</x:t>
  </x:si>
  <x:si>
    <x:t xml:space="preserve">Reparo Baú</x:t>
  </x:si>
  <x:si>
    <x:t xml:space="preserve">Serviço </x:t>
  </x:si>
  <x:si>
    <x:t xml:space="preserve">Lavagem</x:t>
  </x:si>
  <x:si>
    <x:t xml:space="preserve">Frete Jorge</x:t>
  </x:si>
  <x:si>
    <x:t xml:space="preserve">Comissão 2°  viagem</x:t>
  </x:si>
  <x:si>
    <x:t xml:space="preserve">Plano de Manutenção</x:t>
  </x:si>
  <x:si>
    <x:t xml:space="preserve">Manutenção</x:t>
  </x:si>
  <x:si>
    <x:t xml:space="preserve">Scania</x:t>
  </x:si>
  <x:si>
    <x:t xml:space="preserve">Bitruck + Baú</x:t>
  </x:si>
  <x:si>
    <x:t xml:space="preserve">Itaú</x:t>
  </x:si>
  <x:si>
    <x:t xml:space="preserve">IPVA PARC 2 2026</x:t>
  </x:si>
  <x:si>
    <x:t xml:space="preserve">Frete Norte Frutas</x:t>
  </x:si>
  <x:si>
    <x:t xml:space="preserve">Acerto seguro verde</x:t>
  </x:si>
  <x:si>
    <x:t xml:space="preserve">Verde</x:t>
  </x:si>
  <x:si>
    <x:t xml:space="preserve">Serviço + Alinhamento</x:t>
  </x:si>
  <x:si>
    <x:t xml:space="preserve">Pedágio Ref Janeiro</x:t>
  </x:si>
  <x:si>
    <x:t xml:space="preserve">Seguro de Vida</x:t>
  </x:si>
  <x:si>
    <x:t xml:space="preserve">Pasi </x:t>
  </x:si>
  <x:si>
    <x:t xml:space="preserve">Parc 1 - IPVA 2026</x:t>
  </x:si>
  <x:si>
    <x:t xml:space="preserve">Pedágio Ref Dezembro</x:t>
  </x:si>
  <x:si>
    <x:t xml:space="preserve">Compra de Peças</x:t>
  </x:si>
  <x:si>
    <x:t xml:space="preserve">fechamento </x:t>
  </x:si>
  <x:si>
    <x:t xml:space="preserve">comissão</x:t>
  </x:si>
  <x:si>
    <x:t xml:space="preserve">weverton</x:t>
  </x:si>
  <x:si>
    <x:t xml:space="preserve">salário 042026</x:t>
  </x:si>
  <x:si>
    <x:t xml:space="preserve">salário</x:t>
  </x:si>
  <x:si>
    <x:t xml:space="preserve">frete salvador 27/04 - parte 2 jean</x:t>
  </x:si>
  <x:si>
    <x:t xml:space="preserve">ernesty</x:t>
  </x:si>
  <x:si>
    <x:t xml:space="preserve">programado</x:t>
  </x:si>
  <x:si>
    <x:t xml:space="preserve">montagem + rodizio  01/02</x:t>
  </x:si>
  <x:si>
    <x:t xml:space="preserve">tegra</x:t>
  </x:si>
  <x:si>
    <x:t xml:space="preserve">vale card</x:t>
  </x:si>
  <x:si>
    <x:t xml:space="preserve">descarga </x:t>
  </x:si>
  <x:si>
    <x:t xml:space="preserve">custo operacional único</x:t>
  </x:si>
  <x:si>
    <x:t xml:space="preserve">adiantamento</x:t>
  </x:si>
  <x:si>
    <x:t xml:space="preserve">comissão jean (agenciador)</x:t>
  </x:si>
  <x:si>
    <x:t xml:space="preserve">jean</x:t>
  </x:si>
  <x:si>
    <x:t xml:space="preserve">transferencia conta riluca empresa</x:t>
  </x:si>
  <x:si>
    <x:t xml:space="preserve">riluca</x:t>
  </x:si>
  <x:si>
    <x:t xml:space="preserve">cavalo + carreta</x:t>
  </x:si>
  <x:si>
    <x:t xml:space="preserve">frete salvador 27/04 - parte 1 jean</x:t>
  </x:si>
  <x:si>
    <x:t xml:space="preserve">comissão ernesty</x:t>
  </x:si>
  <x:si>
    <x:t xml:space="preserve">weverton - adiantamento</x:t>
  </x:si>
  <x:si>
    <x:t xml:space="preserve">taz</x:t>
  </x:si>
  <x:si>
    <x:t xml:space="preserve">frete frescatto 17/02</x:t>
  </x:si>
  <x:si>
    <x:t xml:space="preserve">compra de peças 03/03</x:t>
  </x:si>
  <x:si>
    <x:t xml:space="preserve">wlm</x:t>
  </x:si>
  <x:si>
    <x:t xml:space="preserve">Pago</x:t>
  </x:si>
  <x:si>
    <x:t xml:space="preserve">serviço filtro 03/03</x:t>
  </x:si>
  <x:si>
    <x:t xml:space="preserve">grt cavalo + carreta</x:t>
  </x:si>
  <x:si>
    <x:t xml:space="preserve">detran</x:t>
  </x:si>
  <x:si>
    <x:t xml:space="preserve">FRETE UVA 24/04</x:t>
  </x:si>
  <x:si>
    <x:t xml:space="preserve">sascar</x:t>
  </x:si>
  <x:si>
    <x:t xml:space="preserve">rastreador</x:t>
  </x:si>
  <x:si>
    <x:t xml:space="preserve">recapagem 01/03</x:t>
  </x:si>
  <x:si>
    <x:t xml:space="preserve">compra de peças 02/04</x:t>
  </x:si>
  <x:si>
    <x:t xml:space="preserve">montagem 02/02</x:t>
  </x:si>
  <x:si>
    <x:t xml:space="preserve">t4s</x:t>
  </x:si>
  <x:si>
    <x:t xml:space="preserve">fechamento weverton</x:t>
  </x:si>
  <x:si>
    <x:t xml:space="preserve">frete banana 14/04</x:t>
  </x:si>
  <x:si>
    <x:t xml:space="preserve">consultoria abril</x:t>
  </x:si>
  <x:si>
    <x:t xml:space="preserve">seguro</x:t>
  </x:si>
  <x:si>
    <x:t xml:space="preserve">verde</x:t>
  </x:si>
  <x:si>
    <x:t xml:space="preserve">gerenciadora de risco</x:t>
  </x:si>
  <x:si>
    <x:t xml:space="preserve">simples cte</x:t>
  </x:si>
  <x:si>
    <x:t xml:space="preserve">serviço 03/03</x:t>
  </x:si>
  <x:si>
    <x:t xml:space="preserve">compra de peças 02/02</x:t>
  </x:si>
  <x:si>
    <x:t xml:space="preserve">thermo klima</x:t>
  </x:si>
  <x:si>
    <x:t xml:space="preserve">serviço 02/02</x:t>
  </x:si>
  <x:si>
    <x:t xml:space="preserve">frete uva - carregou 10/04</x:t>
  </x:si>
  <x:si>
    <x:t xml:space="preserve">agenciamento wallace - recife</x:t>
  </x:si>
  <x:si>
    <x:t xml:space="preserve">wallace</x:t>
  </x:si>
  <x:si>
    <x:t xml:space="preserve">seguro + vale pedagio frete recife 04/04</x:t>
  </x:si>
  <x:si>
    <x:t xml:space="preserve">frete wallace (04/04) - recife</x:t>
  </x:si>
  <x:si>
    <x:t xml:space="preserve">serviço filtro de ar 01/02</x:t>
  </x:si>
  <x:si>
    <x:t xml:space="preserve">salario - reembolso weverton</x:t>
  </x:si>
  <x:si>
    <x:t xml:space="preserve">tarifas bancárias</x:t>
  </x:si>
  <x:si>
    <x:t xml:space="preserve">PUXA frescatto 01/04</x:t>
  </x:si>
  <x:si>
    <x:t xml:space="preserve">minas rio + riluca 28/03</x:t>
  </x:si>
  <x:si>
    <x:t xml:space="preserve">FRETE JMB COMERCIO 28/03</x:t>
  </x:si>
  <x:si>
    <x:t xml:space="preserve">1x3 nf 2116</x:t>
  </x:si>
  <x:si>
    <x:t xml:space="preserve">seguro carga - viagem 31/03 (chegou com uva) - parte riluca</x:t>
  </x:si>
  <x:si>
    <x:t xml:space="preserve">seguro de carga elias - 15/01 (estava em aberto)</x:t>
  </x:si>
  <x:si>
    <x:t xml:space="preserve">consultoria mar</x:t>
  </x:si>
  <x:si>
    <x:t xml:space="preserve">frete uva 16/03 (para turfik)</x:t>
  </x:si>
  <x:si>
    <x:t xml:space="preserve">24 parc financiamento</x:t>
  </x:si>
  <x:si>
    <x:t xml:space="preserve">abastecimento nf 20950</x:t>
  </x:si>
  <x:si>
    <x:t xml:space="preserve">custo operacional</x:t>
  </x:si>
  <x:si>
    <x:t xml:space="preserve">parc 2x3</x:t>
  </x:si>
  <x:si>
    <x:t xml:space="preserve">parc 2x3 </x:t>
  </x:si>
  <x:si>
    <x:t xml:space="preserve">frete frescatto 20/03 (weverton) - alcobaça + recife</x:t>
  </x:si>
  <x:si>
    <x:t xml:space="preserve">nic diesel</x:t>
  </x:si>
  <x:si>
    <x:t xml:space="preserve">ipva 3/3</x:t>
  </x:si>
  <x:si>
    <x:t xml:space="preserve">ipva</x:t>
  </x:si>
  <x:si>
    <x:t xml:space="preserve">adiantamento weverton</x:t>
  </x:si>
  <x:si>
    <x:t xml:space="preserve">1x3 nf 2117</x:t>
  </x:si>
  <x:si>
    <x:t xml:space="preserve">Rastreador</x:t>
  </x:si>
  <x:si>
    <x:t xml:space="preserve">parc 1x2</x:t>
  </x:si>
  <x:si>
    <x:t xml:space="preserve">parc 1x4</x:t>
  </x:si>
  <x:si>
    <x:t xml:space="preserve">frete frescatto - 09/03</x:t>
  </x:si>
  <x:si>
    <x:t xml:space="preserve">nf 466084</x:t>
  </x:si>
  <x:si>
    <x:t xml:space="preserve">nf 2841</x:t>
  </x:si>
  <x:si>
    <x:t xml:space="preserve">adiantamento ernest</x:t>
  </x:si>
  <x:si>
    <x:t xml:space="preserve">peças - reposição</x:t>
  </x:si>
  <x:si>
    <x:t xml:space="preserve">claudio</x:t>
  </x:si>
  <x:si>
    <x:t xml:space="preserve">pedágio nf 6836</x:t>
  </x:si>
  <x:si>
    <x:t xml:space="preserve">sem parar </x:t>
  </x:si>
  <x:si>
    <x:t xml:space="preserve">abastecimento nf 17094</x:t>
  </x:si>
  <x:si>
    <x:t xml:space="preserve">seguro 8x10</x:t>
  </x:si>
  <x:si>
    <x:t xml:space="preserve">seguro randon equip  parc 3/5 - verde </x:t>
  </x:si>
  <x:si>
    <x:t xml:space="preserve">parc 2x3 nf 536</x:t>
  </x:si>
  <x:si>
    <x:t xml:space="preserve">parc 2x3 nf 91131</x:t>
  </x:si>
  <x:si>
    <x:t xml:space="preserve">joao da lata</x:t>
  </x:si>
  <x:si>
    <x:t xml:space="preserve">emissor de documentos</x:t>
  </x:si>
  <x:si>
    <x:t xml:space="preserve">montagem nf 2052</x:t>
  </x:si>
  <x:si>
    <x:t xml:space="preserve">frete cebola 07/03</x:t>
  </x:si>
  <x:si>
    <x:t xml:space="preserve">tegra parc 4/4</x:t>
  </x:si>
  <x:si>
    <x:t xml:space="preserve">frete frescatto 23/02 - paulo afonso (reembolso taz) (pago com frete cebola 03/03)</x:t>
  </x:si>
  <x:si>
    <x:t xml:space="preserve">comissão 2 viagens</x:t>
  </x:si>
  <x:si>
    <x:t xml:space="preserve">icms - dito e cia</x:t>
  </x:si>
  <x:si>
    <x:t xml:space="preserve">salario motorista - reembolso taz (consideramos 1,5x por causa dos encargos)</x:t>
  </x:si>
  <x:si>
    <x:t xml:space="preserve">frete frescatto 23/02 - paulo afonso - frete não feito - quebrou cavalo</x:t>
  </x:si>
  <x:si>
    <x:t xml:space="preserve">serviço filtro + kit filtro parc 1/3</x:t>
  </x:si>
  <x:si>
    <x:t xml:space="preserve">financiamento carreta + cavalo</x:t>
  </x:si>
  <x:si>
    <x:t xml:space="preserve">comissão 27/02</x:t>
  </x:si>
  <x:si>
    <x:t xml:space="preserve">frete cebola 03/03</x:t>
  </x:si>
  <x:si>
    <x:t xml:space="preserve">ipva 2/3</x:t>
  </x:si>
  <x:si>
    <x:t xml:space="preserve">manutenção - carreta op único</x:t>
  </x:si>
  <x:si>
    <x:t xml:space="preserve">Custo Operacional único</x:t>
  </x:si>
  <x:si>
    <x:t xml:space="preserve">rodolfo</x:t>
  </x:si>
  <x:si>
    <x:t xml:space="preserve">consultoria fev</x:t>
  </x:si>
  <x:si>
    <x:t xml:space="preserve">comissao - viagem banana</x:t>
  </x:si>
  <x:si>
    <x:t xml:space="preserve">pedágio - cte e mdfe emitido josy op único</x:t>
  </x:si>
  <x:si>
    <x:t xml:space="preserve">josy</x:t>
  </x:si>
  <x:si>
    <x:t xml:space="preserve">Rastreador T4S</x:t>
  </x:si>
  <x:si>
    <x:t xml:space="preserve">rede manaus</x:t>
  </x:si>
  <x:si>
    <x:t xml:space="preserve">seguro randon equip  parc 2/5 - verde </x:t>
  </x:si>
  <x:si>
    <x:t xml:space="preserve">seguro 7x10</x:t>
  </x:si>
  <x:si>
    <x:t xml:space="preserve">frete bora - 27/01 - parte 2 (taz que acabou fazendo)</x:t>
  </x:si>
  <x:si>
    <x:t xml:space="preserve">frete bora - feito pela taz 27/01</x:t>
  </x:si>
  <x:si>
    <x:t xml:space="preserve">frete banana</x:t>
  </x:si>
  <x:si>
    <x:t xml:space="preserve">comissão viagem - quebrada contagem</x:t>
  </x:si>
  <x:si>
    <x:t xml:space="preserve">salario - elias (até dia 17)</x:t>
  </x:si>
  <x:si>
    <x:t xml:space="preserve">elias</x:t>
  </x:si>
  <x:si>
    <x:t xml:space="preserve">seguro randon equip  parc 1/5 - verde </x:t>
  </x:si>
  <x:si>
    <x:t xml:space="preserve">frete bora - 27/01 - puxas</x:t>
  </x:si>
  <x:si>
    <x:t xml:space="preserve">comissao</x:t>
  </x:si>
  <x:si>
    <x:t xml:space="preserve">filtro de ar op único</x:t>
  </x:si>
  <x:si>
    <x:t xml:space="preserve">Custo Operacional </x:t>
  </x:si>
  <x:si>
    <x:t xml:space="preserve">meli</x:t>
  </x:si>
  <x:si>
    <x:t xml:space="preserve">frete bora - 27/01 - parte 1</x:t>
  </x:si>
  <x:si>
    <x:t xml:space="preserve">tegra nf 1556</x:t>
  </x:si>
  <x:si>
    <x:t xml:space="preserve">tegra 2/3 nf 1591</x:t>
  </x:si>
  <x:si>
    <x:t xml:space="preserve">adiantamento weverton (folga elias)</x:t>
  </x:si>
  <x:si>
    <x:t xml:space="preserve">adiantamento elias</x:t>
  </x:si>
  <x:si>
    <x:t xml:space="preserve">tegra 1/3 nf 1591</x:t>
  </x:si>
  <x:si>
    <x:t xml:space="preserve">perfeita 19/01</x:t>
  </x:si>
  <x:si>
    <x:t xml:space="preserve">frete uva carregou 15/01</x:t>
  </x:si>
  <x:si>
    <x:t xml:space="preserve">ipva 1/3</x:t>
  </x:si>
  <x:si>
    <x:t xml:space="preserve">seguro cavalo  6x10</x:t>
  </x:si>
  <x:si>
    <x:t xml:space="preserve">consultoria janeiro</x:t>
  </x:si>
  <x:si>
    <x:t xml:space="preserve">frete são gotardo 13/01</x:t>
  </x:si>
  <x:si>
    <x:t xml:space="preserve">coopk auto peças</x:t>
  </x:si>
  <x:si>
    <x:t xml:space="preserve">seguro carga - 03/01</x:t>
  </x:si>
  <x:si>
    <x:t xml:space="preserve">salario - elias</x:t>
  </x:si>
  <x:si>
    <x:t xml:space="preserve">frete - uva - 03/01</x:t>
  </x:si>
  <x:si>
    <x:t xml:space="preserve">frete - cristiano - joao pessoa ( dinheiro para mychele - deu 23500)</x:t>
  </x:si>
  <x:si>
    <x:t xml:space="preserve">cristiano</x:t>
  </x:si>
  <x:si>
    <x:t xml:space="preserve">puxa frioden (ze maria) 23/02</x:t>
  </x:si>
  <x:si>
    <x:t xml:space="preserve">ABASTECIMENTO</x:t>
  </x:si>
  <x:si>
    <x:t xml:space="preserve">JPM </x:t>
  </x:si>
  <x:si>
    <x:t xml:space="preserve">Pagas</x:t>
  </x:si>
  <x:si>
    <x:t xml:space="preserve">02/01/2026</x:t>
  </x:si>
  <x:si>
    <x:t xml:space="preserve">JKV </x:t>
  </x:si>
  <x:si>
    <x:t xml:space="preserve">RXO6B17</x:t>
  </x:si>
  <x:si>
    <x:t xml:space="preserve">COMISSÃO</x:t>
  </x:si>
  <x:si>
    <x:t xml:space="preserve">03/01/2026</x:t>
  </x:si>
  <x:si>
    <x:t xml:space="preserve">ALEX</x:t>
  </x:si>
  <x:si>
    <x:t xml:space="preserve">NFE 283</x:t>
  </x:si>
  <x:si>
    <x:t xml:space="preserve">MANGARITO</x:t>
  </x:si>
  <x:si>
    <x:t xml:space="preserve">NFE 781</x:t>
  </x:si>
  <x:si>
    <x:t xml:space="preserve">TRIUNFO</x:t>
  </x:si>
  <x:si>
    <x:t xml:space="preserve">NFE 9654</x:t>
  </x:si>
  <x:si>
    <x:t xml:space="preserve">CROS </x:t>
  </x:si>
  <x:si>
    <x:t xml:space="preserve">04/01/2026</x:t>
  </x:si>
  <x:si>
    <x:t xml:space="preserve">SERVIÇO</x:t>
  </x:si>
  <x:si>
    <x:t xml:space="preserve">NFE 9658</x:t>
  </x:si>
  <x:si>
    <x:t xml:space="preserve">POSTO CERRADAO</x:t>
  </x:si>
  <x:si>
    <x:t xml:space="preserve">05/01/2026</x:t>
  </x:si>
  <x:si>
    <x:t xml:space="preserve">NFE 50275555</x:t>
  </x:si>
  <x:si>
    <x:t xml:space="preserve">DOM IMPERIAL</x:t>
  </x:si>
  <x:si>
    <x:t xml:space="preserve">PEC DIESEL</x:t>
  </x:si>
  <x:si>
    <x:t xml:space="preserve">SALÁRIOS</x:t>
  </x:si>
  <x:si>
    <x:t xml:space="preserve">faisão</x:t>
  </x:si>
  <x:si>
    <x:t xml:space="preserve">26.318.900 DIEGO FERNANDES DOS SANTOS</x:t>
  </x:si>
  <x:si>
    <x:t xml:space="preserve">IMPOSTO</x:t>
  </x:si>
  <x:si>
    <x:t xml:space="preserve">DETRAN</x:t>
  </x:si>
  <x:si>
    <x:t xml:space="preserve">COMPRA DE PNEUS</x:t>
  </x:si>
  <x:si>
    <x:t xml:space="preserve">REDE MANAUS</x:t>
  </x:si>
  <x:si>
    <x:t xml:space="preserve">TEGRA </x:t>
  </x:si>
  <x:si>
    <x:t xml:space="preserve">06/01/2026</x:t>
  </x:si>
  <x:si>
    <x:t xml:space="preserve">bradesco</x:t>
  </x:si>
  <x:si>
    <x:t xml:space="preserve">SRC9C76 </x:t>
  </x:si>
  <x:si>
    <x:t xml:space="preserve">NFE 3344</x:t>
  </x:si>
  <x:si>
    <x:t xml:space="preserve">AGROGERAIS</x:t>
  </x:si>
  <x:si>
    <x:t xml:space="preserve">NFE 9659</x:t>
  </x:si>
  <x:si>
    <x:t xml:space="preserve">CROS</x:t>
  </x:si>
  <x:si>
    <x:t xml:space="preserve">SCANIA</x:t>
  </x:si>
  <x:si>
    <x:t xml:space="preserve">07/01/2026</x:t>
  </x:si>
  <x:si>
    <x:t xml:space="preserve">SCANIA </x:t>
  </x:si>
  <x:si>
    <x:t xml:space="preserve">NFE 50295029</x:t>
  </x:si>
  <x:si>
    <x:t xml:space="preserve">NUNO MONTEIRO </x:t>
  </x:si>
  <x:si>
    <x:t xml:space="preserve">NFE 6246</x:t>
  </x:si>
  <x:si>
    <x:t xml:space="preserve">MARCOS F RIBEIRO</x:t>
  </x:si>
  <x:si>
    <x:t xml:space="preserve">MANUTENÇÃO CORRETIVA</x:t>
  </x:si>
  <x:si>
    <x:t xml:space="preserve">WLM </x:t>
  </x:si>
  <x:si>
    <x:t xml:space="preserve">08/01/2026</x:t>
  </x:si>
  <x:si>
    <x:t xml:space="preserve">COMPRA DE PEÇAS</x:t>
  </x:si>
  <x:si>
    <x:t xml:space="preserve">NFE 2545</x:t>
  </x:si>
  <x:si>
    <x:t xml:space="preserve">SANTA FRUTA</x:t>
  </x:si>
  <x:si>
    <x:t xml:space="preserve">NFE 3668</x:t>
  </x:si>
  <x:si>
    <x:t xml:space="preserve">MINAS RIO</x:t>
  </x:si>
  <x:si>
    <x:t xml:space="preserve">NFE 50305525</x:t>
  </x:si>
  <x:si>
    <x:t xml:space="preserve">LUIZ SCHWARCZ</x:t>
  </x:si>
  <x:si>
    <x:t xml:space="preserve">09/01/2026</x:t>
  </x:si>
  <x:si>
    <x:t xml:space="preserve">TACÓGRAFO</x:t>
  </x:si>
  <x:si>
    <x:t xml:space="preserve">FRANQUIA</x:t>
  </x:si>
  <x:si>
    <x:t xml:space="preserve">10/01/2026</x:t>
  </x:si>
  <x:si>
    <x:t xml:space="preserve">NFE 103</x:t>
  </x:si>
  <x:si>
    <x:t xml:space="preserve">BANOFFE</x:t>
  </x:si>
  <x:si>
    <x:t xml:space="preserve">REDE MANAUS </x:t>
  </x:si>
  <x:si>
    <x:t xml:space="preserve">NFE 672</x:t>
  </x:si>
  <x:si>
    <x:t xml:space="preserve">11/01/2026</x:t>
  </x:si>
  <x:si>
    <x:t xml:space="preserve">NFE 293</x:t>
  </x:si>
  <x:si>
    <x:t xml:space="preserve">FRUTAS MANGARITO</x:t>
  </x:si>
  <x:si>
    <x:t xml:space="preserve">12/01/2026</x:t>
  </x:si>
  <x:si>
    <x:t xml:space="preserve">NFE 30940</x:t>
  </x:si>
  <x:si>
    <x:t xml:space="preserve">FRUTVALE</x:t>
  </x:si>
  <x:si>
    <x:t xml:space="preserve">NFE 62</x:t>
  </x:si>
  <x:si>
    <x:t xml:space="preserve">JP SO FRUTAS </x:t>
  </x:si>
  <x:si>
    <x:t xml:space="preserve">13/01/2026</x:t>
  </x:si>
  <x:si>
    <x:t xml:space="preserve">NFE 3349</x:t>
  </x:si>
  <x:si>
    <x:t xml:space="preserve">14/01/2026</x:t>
  </x:si>
  <x:si>
    <x:t xml:space="preserve">NFE 6277</x:t>
  </x:si>
  <x:si>
    <x:t xml:space="preserve">MARCOS DE F RIBEIRO</x:t>
  </x:si>
  <x:si>
    <x:t xml:space="preserve">SRC9C76</x:t>
  </x:si>
  <x:si>
    <x:t xml:space="preserve">15/01/2026</x:t>
  </x:si>
  <x:si>
    <x:t xml:space="preserve">Parcial</x:t>
  </x:si>
  <x:si>
    <x:t xml:space="preserve">WLM</x:t>
  </x:si>
  <x:si>
    <x:t xml:space="preserve">RLB6C49</x:t>
  </x:si>
  <x:si>
    <x:t xml:space="preserve">PEDÁGIOS</x:t>
  </x:si>
  <x:si>
    <x:t xml:space="preserve">SEM PARAR</x:t>
  </x:si>
  <x:si>
    <x:t xml:space="preserve">POSTO DE MOLAS LIDER </x:t>
  </x:si>
  <x:si>
    <x:t xml:space="preserve">SRC9C52</x:t>
  </x:si>
  <x:si>
    <x:t xml:space="preserve">NFE 9671</x:t>
  </x:si>
  <x:si>
    <x:t xml:space="preserve">NFE 50359293</x:t>
  </x:si>
  <x:si>
    <x:t xml:space="preserve">NUNO MONTEIRO</x:t>
  </x:si>
  <x:si>
    <x:t xml:space="preserve">Consultoria</x:t>
  </x:si>
  <x:si>
    <x:t xml:space="preserve">Taz</x:t>
  </x:si>
  <x:si>
    <x:t xml:space="preserve">16/01/2026</x:t>
  </x:si>
  <x:si>
    <x:t xml:space="preserve">JPM</x:t>
  </x:si>
  <x:si>
    <x:t xml:space="preserve">NFE 3353</x:t>
  </x:si>
  <x:si>
    <x:t xml:space="preserve">17/01/2026</x:t>
  </x:si>
  <x:si>
    <x:t xml:space="preserve">NFE 786</x:t>
  </x:si>
  <x:si>
    <x:t xml:space="preserve">NFE 1106</x:t>
  </x:si>
  <x:si>
    <x:t xml:space="preserve">MINAS RIO FRUTAS </x:t>
  </x:si>
  <x:si>
    <x:t xml:space="preserve">18/01/2026</x:t>
  </x:si>
  <x:si>
    <x:t xml:space="preserve">NFE 9674</x:t>
  </x:si>
  <x:si>
    <x:t xml:space="preserve">19/01/2026</x:t>
  </x:si>
  <x:si>
    <x:t xml:space="preserve">20/01/2026</x:t>
  </x:si>
  <x:si>
    <x:t xml:space="preserve">POSTO DE MOLAS LIDER</x:t>
  </x:si>
  <x:si>
    <x:t xml:space="preserve">NFE 3357</x:t>
  </x:si>
  <x:si>
    <x:t xml:space="preserve">NFE 91</x:t>
  </x:si>
  <x:si>
    <x:t xml:space="preserve">ZE MANAIA</x:t>
  </x:si>
  <x:si>
    <x:t xml:space="preserve">21/01/2026</x:t>
  </x:si>
  <x:si>
    <x:t xml:space="preserve">GERENCIADORA DE RISCO</x:t>
  </x:si>
  <x:si>
    <x:t xml:space="preserve">NFE 3698</x:t>
  </x:si>
  <x:si>
    <x:t xml:space="preserve">NFE 308</x:t>
  </x:si>
  <x:si>
    <x:t xml:space="preserve">FRUTAS MANGARITO </x:t>
  </x:si>
  <x:si>
    <x:t xml:space="preserve">22/01/2026</x:t>
  </x:si>
  <x:si>
    <x:t xml:space="preserve">NFE 30962</x:t>
  </x:si>
  <x:si>
    <x:t xml:space="preserve">23/01/2026</x:t>
  </x:si>
  <x:si>
    <x:t xml:space="preserve">NFE 50433871</x:t>
  </x:si>
  <x:si>
    <x:t xml:space="preserve">SEGURO</x:t>
  </x:si>
  <x:si>
    <x:t xml:space="preserve">PORTO SEGURO</x:t>
  </x:si>
  <x:si>
    <x:t xml:space="preserve">24/01/2026</x:t>
  </x:si>
  <x:si>
    <x:t xml:space="preserve">NFE 3705</x:t>
  </x:si>
  <x:si>
    <x:t xml:space="preserve">MINAS RIO FRUTAS</x:t>
  </x:si>
  <x:si>
    <x:t xml:space="preserve">NFE 9685</x:t>
  </x:si>
  <x:si>
    <x:t xml:space="preserve">NFE 6311</x:t>
  </x:si>
  <x:si>
    <x:t xml:space="preserve">ITAU</x:t>
  </x:si>
  <x:si>
    <x:t xml:space="preserve">25/01/2026</x:t>
  </x:si>
  <x:si>
    <x:t xml:space="preserve">NFE 9680</x:t>
  </x:si>
  <x:si>
    <x:t xml:space="preserve">NFE 50446635</x:t>
  </x:si>
  <x:si>
    <x:t xml:space="preserve">NFE 3718</x:t>
  </x:si>
  <x:si>
    <x:t xml:space="preserve">26/01/2026</x:t>
  </x:si>
  <x:si>
    <x:t xml:space="preserve">NFE 50448161</x:t>
  </x:si>
  <x:si>
    <x:t xml:space="preserve">MATHEUS PAULINO</x:t>
  </x:si>
  <x:si>
    <x:t xml:space="preserve">27/01/2026</x:t>
  </x:si>
  <x:si>
    <x:t xml:space="preserve">MONTAGEM/ BALANCEAMENTO/ ALINHAMENTO</x:t>
  </x:si>
  <x:si>
    <x:t xml:space="preserve">LIDERMOLAS</x:t>
  </x:si>
  <x:si>
    <x:t xml:space="preserve">NFE 3365</x:t>
  </x:si>
  <x:si>
    <x:t xml:space="preserve">COMPRA DE MERCADORIA</x:t>
  </x:si>
  <x:si>
    <x:t xml:space="preserve">28/01/2026</x:t>
  </x:si>
  <x:si>
    <x:t xml:space="preserve">NFE 787</x:t>
  </x:si>
  <x:si>
    <x:t xml:space="preserve">NFE 3093</x:t>
  </x:si>
  <x:si>
    <x:t xml:space="preserve">CLAUDIO ANCANO</x:t>
  </x:si>
  <x:si>
    <x:t xml:space="preserve">29/01/2026</x:t>
  </x:si>
  <x:si>
    <x:t xml:space="preserve">EZZE </x:t>
  </x:si>
  <x:si>
    <x:t xml:space="preserve">NFE 50481641</x:t>
  </x:si>
  <x:si>
    <x:t xml:space="preserve">30/01/2026</x:t>
  </x:si>
  <x:si>
    <x:t xml:space="preserve">NFE 3858</x:t>
  </x:si>
  <x:si>
    <x:t xml:space="preserve">ARTHUR VICENTE </x:t>
  </x:si>
  <x:si>
    <x:t xml:space="preserve">NFE 3368</x:t>
  </x:si>
  <x:si>
    <x:t xml:space="preserve">PASI </x:t>
  </x:si>
  <x:si>
    <x:t xml:space="preserve">31/01/2026</x:t>
  </x:si>
  <x:si>
    <x:t xml:space="preserve">Em atraso</x:t>
  </x:si>
  <x:si>
    <x:t xml:space="preserve">NFE 50509433</x:t>
  </x:si>
  <x:si>
    <x:t xml:space="preserve">OSCAR MAGARIO NETO</x:t>
  </x:si>
  <x:si>
    <x:t xml:space="preserve">NFE 317</x:t>
  </x:si>
  <x:si>
    <x:t xml:space="preserve">NFE 319</x:t>
  </x:si>
  <x:si>
    <x:t xml:space="preserve">NFE 30986</x:t>
  </x:si>
  <x:si>
    <x:t xml:space="preserve">01/02/2026</x:t>
  </x:si>
  <x:si>
    <x:t xml:space="preserve">02/02/2026</x:t>
  </x:si>
  <x:si>
    <x:t xml:space="preserve">NFE 538</x:t>
  </x:si>
  <x:si>
    <x:t xml:space="preserve">CLAUDINEI FERNANDES</x:t>
  </x:si>
  <x:si>
    <x:t xml:space="preserve">NFE 902</x:t>
  </x:si>
  <x:si>
    <x:t xml:space="preserve">AGRO SAO JOSE</x:t>
  </x:si>
  <x:si>
    <x:t xml:space="preserve">03/02/2026</x:t>
  </x:si>
  <x:si>
    <x:t xml:space="preserve">NFE 9691</x:t>
  </x:si>
  <x:si>
    <x:t xml:space="preserve">NFE 3373</x:t>
  </x:si>
  <x:si>
    <x:t xml:space="preserve">04/02/2026</x:t>
  </x:si>
  <x:si>
    <x:t xml:space="preserve">CONSERTO PNEU</x:t>
  </x:si>
  <x:si>
    <x:t xml:space="preserve">NFE 3743</x:t>
  </x:si>
  <x:si>
    <x:t xml:space="preserve">05/02/2026</x:t>
  </x:si>
  <x:si>
    <x:t xml:space="preserve">NFE 325</x:t>
  </x:si>
  <x:si>
    <x:t xml:space="preserve">06/02/2026</x:t>
  </x:si>
  <x:si>
    <x:t xml:space="preserve">NFE 2585</x:t>
  </x:si>
  <x:si>
    <x:t xml:space="preserve">NFE 3752</x:t>
  </x:si>
  <x:si>
    <x:t xml:space="preserve">07/02/2026</x:t>
  </x:si>
  <x:si>
    <x:t xml:space="preserve">NFE 326</x:t>
  </x:si>
  <x:si>
    <x:t xml:space="preserve">RJ7G60</x:t>
  </x:si>
  <x:si>
    <x:t xml:space="preserve">08/02/2026</x:t>
  </x:si>
  <x:si>
    <x:t xml:space="preserve">NFE 50576828</x:t>
  </x:si>
  <x:si>
    <x:t xml:space="preserve">OSCAR MAGARIO</x:t>
  </x:si>
  <x:si>
    <x:t xml:space="preserve">NFE 31014</x:t>
  </x:si>
  <x:si>
    <x:t xml:space="preserve">FRUTVALE </x:t>
  </x:si>
  <x:si>
    <x:t xml:space="preserve">COMPRA DE PEÇAS + SERVIÇOS</x:t>
  </x:si>
  <x:si>
    <x:t xml:space="preserve">JOAO DA LATA</x:t>
  </x:si>
  <x:si>
    <x:t xml:space="preserve">09/02/2026</x:t>
  </x:si>
  <x:si>
    <x:t xml:space="preserve">POSTO CERRADAO </x:t>
  </x:si>
  <x:si>
    <x:t xml:space="preserve">NFE 542</x:t>
  </x:si>
  <x:si>
    <x:t xml:space="preserve">10/02/2026</x:t>
  </x:si>
  <x:si>
    <x:t xml:space="preserve">JHONATAN ARAUJO SOARES</x:t>
  </x:si>
  <x:si>
    <x:t xml:space="preserve">TTW5A24</x:t>
  </x:si>
  <x:si>
    <x:t xml:space="preserve">NFE 3381</x:t>
  </x:si>
  <x:si>
    <x:t xml:space="preserve">NFE 9699</x:t>
  </x:si>
  <x:si>
    <x:t xml:space="preserve">NFE 3769</x:t>
  </x:si>
  <x:si>
    <x:t xml:space="preserve">11/02/2026</x:t>
  </x:si>
  <x:si>
    <x:t xml:space="preserve">NFE 910/911</x:t>
  </x:si>
  <x:si>
    <x:t xml:space="preserve">12/02/2026</x:t>
  </x:si>
  <x:si>
    <x:t xml:space="preserve">NFE 3776</x:t>
  </x:si>
  <x:si>
    <x:t xml:space="preserve">NFE 2598</x:t>
  </x:si>
  <x:si>
    <x:t xml:space="preserve">13/02/2026</x:t>
  </x:si>
  <x:si>
    <x:t xml:space="preserve">NFE 31025</x:t>
  </x:si>
  <x:si>
    <x:t xml:space="preserve">14/02/2026</x:t>
  </x:si>
  <x:si>
    <x:t xml:space="preserve">NFE 50641498</x:t>
  </x:si>
  <x:si>
    <x:t xml:space="preserve">NFE 3109</x:t>
  </x:si>
  <x:si>
    <x:t xml:space="preserve">LOSCHI</x:t>
  </x:si>
  <x:si>
    <x:t xml:space="preserve">15/02/2026</x:t>
  </x:si>
  <x:si>
    <x:t xml:space="preserve">NFE 50645264</x:t>
  </x:si>
  <x:si>
    <x:t xml:space="preserve">TEGRA</x:t>
  </x:si>
  <x:si>
    <x:t xml:space="preserve">16/02/2026</x:t>
  </x:si>
  <x:si>
    <x:t xml:space="preserve">NFE 2602</x:t>
  </x:si>
  <x:si>
    <x:t xml:space="preserve">17/02/2026</x:t>
  </x:si>
  <x:si>
    <x:t xml:space="preserve">NFE 3390</x:t>
  </x:si>
  <x:si>
    <x:t xml:space="preserve">18/02/2026</x:t>
  </x:si>
  <x:si>
    <x:t xml:space="preserve">RODO MINAS</x:t>
  </x:si>
  <x:si>
    <x:t xml:space="preserve">NFE 9708</x:t>
  </x:si>
  <x:si>
    <x:t xml:space="preserve">NFE 2610</x:t>
  </x:si>
  <x:si>
    <x:t xml:space="preserve">19/02/2026</x:t>
  </x:si>
  <x:si>
    <x:t xml:space="preserve">NFE 328</x:t>
  </x:si>
  <x:si>
    <x:t xml:space="preserve">BANANA MINEIRA</x:t>
  </x:si>
  <x:si>
    <x:t xml:space="preserve">20/02/2026</x:t>
  </x:si>
  <x:si>
    <x:t xml:space="preserve">SCANTRUCK</x:t>
  </x:si>
  <x:si>
    <x:t xml:space="preserve">NFE 107</x:t>
  </x:si>
  <x:si>
    <x:t xml:space="preserve">LEONARDO BERNADINO</x:t>
  </x:si>
  <x:si>
    <x:t xml:space="preserve">21/02/2026</x:t>
  </x:si>
  <x:si>
    <x:t xml:space="preserve">NFE 3395</x:t>
  </x:si>
  <x:si>
    <x:t xml:space="preserve">22/02/2026</x:t>
  </x:si>
  <x:si>
    <x:t xml:space="preserve">NFE 338</x:t>
  </x:si>
  <x:si>
    <x:t xml:space="preserve">NFE 31048</x:t>
  </x:si>
  <x:si>
    <x:t xml:space="preserve">23/02/2026</x:t>
  </x:si>
  <x:si>
    <x:t xml:space="preserve">NFE 75</x:t>
  </x:si>
  <x:si>
    <x:t xml:space="preserve">JP SO FRUTAS</x:t>
  </x:si>
  <x:si>
    <x:t xml:space="preserve">24/02/2026</x:t>
  </x:si>
  <x:si>
    <x:t xml:space="preserve">NFE 3809</x:t>
  </x:si>
  <x:si>
    <x:t xml:space="preserve">NFE 3397</x:t>
  </x:si>
  <x:si>
    <x:t xml:space="preserve">25/02/2026</x:t>
  </x:si>
  <x:si>
    <x:t xml:space="preserve">NFE 928/929</x:t>
  </x:si>
  <x:si>
    <x:t xml:space="preserve">NFE 9714</x:t>
  </x:si>
  <x:si>
    <x:t xml:space="preserve">26/02/2026</x:t>
  </x:si>
  <x:si>
    <x:t xml:space="preserve">NFE 50745526</x:t>
  </x:si>
  <x:si>
    <x:t xml:space="preserve">GEDILMAR MARQUES</x:t>
  </x:si>
  <x:si>
    <x:t xml:space="preserve">NFE 31058</x:t>
  </x:si>
  <x:si>
    <x:t xml:space="preserve">NFE 3127</x:t>
  </x:si>
  <x:si>
    <x:t xml:space="preserve">27/02/2026</x:t>
  </x:si>
  <x:si>
    <x:t xml:space="preserve">28/02/2026</x:t>
  </x:si>
  <x:si>
    <x:t xml:space="preserve">NFE 2628</x:t>
  </x:si>
  <x:si>
    <x:t xml:space="preserve">NFE 50786482</x:t>
  </x:si>
  <x:si>
    <x:t xml:space="preserve">NFE 349</x:t>
  </x:si>
  <x:si>
    <x:t xml:space="preserve">NFE 31072</x:t>
  </x:si>
  <x:si>
    <x:t xml:space="preserve">COMPRA DE PNEUS 02/04</x:t>
  </x:si>
  <x:si>
    <x:t xml:space="preserve">02/03/2026</x:t>
  </x:si>
  <x:si>
    <x:t xml:space="preserve">04/03/2026</x:t>
  </x:si>
  <x:si>
    <x:t xml:space="preserve">PASSAGEM</x:t>
  </x:si>
  <x:si>
    <x:t xml:space="preserve">NFE 939</x:t>
  </x:si>
  <x:si>
    <x:t xml:space="preserve">03/03/2026</x:t>
  </x:si>
  <x:si>
    <x:t xml:space="preserve">NFE 351</x:t>
  </x:si>
  <x:si>
    <x:t xml:space="preserve">NFE 9722</x:t>
  </x:si>
  <x:si>
    <x:t xml:space="preserve">NFE 794</x:t>
  </x:si>
  <x:si>
    <x:t xml:space="preserve">PEC DIESEL </x:t>
  </x:si>
  <x:si>
    <x:t xml:space="preserve">05/03/2026</x:t>
  </x:si>
  <x:si>
    <x:t xml:space="preserve">ALEXANDRE ANTONIO</x:t>
  </x:si>
  <x:si>
    <x:t xml:space="preserve">NFE 1788</x:t>
  </x:si>
  <x:si>
    <x:t xml:space="preserve">TOP FRUTAS</x:t>
  </x:si>
  <x:si>
    <x:t xml:space="preserve">06/03/2026</x:t>
  </x:si>
  <x:si>
    <x:t xml:space="preserve">JKV</x:t>
  </x:si>
  <x:si>
    <x:t xml:space="preserve">NFE 50859431</x:t>
  </x:si>
  <x:si>
    <x:t xml:space="preserve">NFE 115</x:t>
  </x:si>
  <x:si>
    <x:t xml:space="preserve">LEONARDO BERNADINO </x:t>
  </x:si>
  <x:si>
    <x:t xml:space="preserve">07/03/2026</x:t>
  </x:si>
  <x:si>
    <x:t xml:space="preserve">NFE 357</x:t>
  </x:si>
  <x:si>
    <x:t xml:space="preserve">NFE 50878638</x:t>
  </x:si>
  <x:si>
    <x:t xml:space="preserve">NFE 31089</x:t>
  </x:si>
  <x:si>
    <x:t xml:space="preserve">08/03/2026</x:t>
  </x:si>
  <x:si>
    <x:t xml:space="preserve">NFE 3854</x:t>
  </x:si>
  <x:si>
    <x:t xml:space="preserve">NFE 50920801</x:t>
  </x:si>
  <x:si>
    <x:t xml:space="preserve">DIRCEU COLARES </x:t>
  </x:si>
  <x:si>
    <x:t xml:space="preserve">09/03/2026</x:t>
  </x:si>
  <x:si>
    <x:t xml:space="preserve">10/03/2026</x:t>
  </x:si>
  <x:si>
    <x:t xml:space="preserve">NFE 9732</x:t>
  </x:si>
  <x:si>
    <x:t xml:space="preserve">NFE 3861</x:t>
  </x:si>
  <x:si>
    <x:t xml:space="preserve">NFE 31100</x:t>
  </x:si>
  <x:si>
    <x:t xml:space="preserve">11/03/2026</x:t>
  </x:si>
  <x:si>
    <x:t xml:space="preserve">NFE 1553</x:t>
  </x:si>
  <x:si>
    <x:t xml:space="preserve">G3A COMERCIAL LTDA</x:t>
  </x:si>
  <x:si>
    <x:t xml:space="preserve">NFE 9735</x:t>
  </x:si>
  <x:si>
    <x:t xml:space="preserve">NFE 50971679</x:t>
  </x:si>
  <x:si>
    <x:t xml:space="preserve">12/03/2026</x:t>
  </x:si>
  <x:si>
    <x:t xml:space="preserve">CBS SOLUCOES E SERVICOS</x:t>
  </x:si>
  <x:si>
    <x:t xml:space="preserve">13/03/2026</x:t>
  </x:si>
  <x:si>
    <x:t xml:space="preserve">NFE 1021</x:t>
  </x:si>
  <x:si>
    <x:t xml:space="preserve">NFE 363</x:t>
  </x:si>
  <x:si>
    <x:t xml:space="preserve">NFE 952</x:t>
  </x:si>
  <x:si>
    <x:t xml:space="preserve">14/03/2026</x:t>
  </x:si>
  <x:si>
    <x:t xml:space="preserve">15/03/2026</x:t>
  </x:si>
  <x:si>
    <x:t xml:space="preserve">16/03/2026</x:t>
  </x:si>
  <x:si>
    <x:t xml:space="preserve">NFE 31118</x:t>
  </x:si>
  <x:si>
    <x:t xml:space="preserve">17/03/2026</x:t>
  </x:si>
  <x:si>
    <x:t xml:space="preserve">NFE 9737</x:t>
  </x:si>
  <x:si>
    <x:t xml:space="preserve">NFE 370</x:t>
  </x:si>
  <x:si>
    <x:t xml:space="preserve">NFE 1834</x:t>
  </x:si>
  <x:si>
    <x:t xml:space="preserve">NFE 2671</x:t>
  </x:si>
  <x:si>
    <x:t xml:space="preserve">NFE 960</x:t>
  </x:si>
  <x:si>
    <x:t xml:space="preserve">18/03/2026</x:t>
  </x:si>
  <x:si>
    <x:t xml:space="preserve">19/03/2026</x:t>
  </x:si>
  <x:si>
    <x:t xml:space="preserve">NFE 31124</x:t>
  </x:si>
  <x:si>
    <x:t xml:space="preserve">NFE 116</x:t>
  </x:si>
  <x:si>
    <x:t xml:space="preserve">BANOFFEE </x:t>
  </x:si>
  <x:si>
    <x:t xml:space="preserve">20/03/2026</x:t>
  </x:si>
  <x:si>
    <x:t xml:space="preserve">NFE 128</x:t>
  </x:si>
  <x:si>
    <x:t xml:space="preserve">NFE 3895</x:t>
  </x:si>
  <x:si>
    <x:t xml:space="preserve">21/03/2026</x:t>
  </x:si>
  <x:si>
    <x:t xml:space="preserve">NFE 381</x:t>
  </x:si>
  <x:si>
    <x:t xml:space="preserve">NFE 1840</x:t>
  </x:si>
  <x:si>
    <x:t xml:space="preserve">22/03/2026</x:t>
  </x:si>
  <x:si>
    <x:t xml:space="preserve">23/03/2026</x:t>
  </x:si>
  <x:si>
    <x:t xml:space="preserve">NFE 31137</x:t>
  </x:si>
  <x:si>
    <x:t xml:space="preserve">24/03/2026</x:t>
  </x:si>
  <x:si>
    <x:t xml:space="preserve">RESCISÃO</x:t>
  </x:si>
  <x:si>
    <x:t xml:space="preserve">CONTABILIDADE</x:t>
  </x:si>
  <x:si>
    <x:t xml:space="preserve">EXAME DEMISSIONAL</x:t>
  </x:si>
  <x:si>
    <x:t xml:space="preserve">SALÁRIO</x:t>
  </x:si>
  <x:si>
    <x:t xml:space="preserve">NFE 9746</x:t>
  </x:si>
  <x:si>
    <x:t xml:space="preserve">25/03/2026</x:t>
  </x:si>
  <x:si>
    <x:t xml:space="preserve">NFE 966</x:t>
  </x:si>
  <x:si>
    <x:t xml:space="preserve">NFE 806</x:t>
  </x:si>
  <x:si>
    <x:t xml:space="preserve">26/03/2026</x:t>
  </x:si>
  <x:si>
    <x:t xml:space="preserve">NFE 432</x:t>
  </x:si>
  <x:si>
    <x:t xml:space="preserve">FAZENDA RIQUEZAS</x:t>
  </x:si>
  <x:si>
    <x:t xml:space="preserve">NFE 132</x:t>
  </x:si>
  <x:si>
    <x:t xml:space="preserve">27/03/2026</x:t>
  </x:si>
  <x:si>
    <x:t xml:space="preserve">30/03/2026</x:t>
  </x:si>
  <x:si>
    <x:t xml:space="preserve">28/03/2026</x:t>
  </x:si>
  <x:si>
    <x:t xml:space="preserve">NFE 51201231</x:t>
  </x:si>
  <x:si>
    <x:t xml:space="preserve">NFE 390</x:t>
  </x:si>
  <x:si>
    <x:t xml:space="preserve">29/03/2026</x:t>
  </x:si>
  <x:si>
    <x:t xml:space="preserve">NFE 439</x:t>
  </x:si>
  <x:si>
    <x:t xml:space="preserve">NFE 51205685</x:t>
  </x:si>
  <x:si>
    <x:t xml:space="preserve">LUCAS COLARES</x:t>
  </x:si>
  <x:si>
    <x:t xml:space="preserve">EZZE</x:t>
  </x:si>
  <x:si>
    <x:t xml:space="preserve">31/03/2026</x:t>
  </x:si>
  <x:si>
    <x:t xml:space="preserve">NFE 978</x:t>
  </x:si>
  <x:si>
    <x:t xml:space="preserve">NFE 31157</x:t>
  </x:si>
  <x:si>
    <x:t xml:space="preserve">NFE 516</x:t>
  </x:si>
  <x:si>
    <x:t xml:space="preserve">NFE 51230292</x:t>
  </x:si>
  <x:si>
    <x:t xml:space="preserve">COMISSÃO </x:t>
  </x:si>
  <x:si>
    <x:t xml:space="preserve">ALEX </x:t>
  </x:si>
  <x:si>
    <x:t xml:space="preserve">CARLOS</x:t>
  </x:si>
  <x:si>
    <x:t xml:space="preserve">02/04/2026</x:t>
  </x:si>
  <x:si>
    <x:t xml:space="preserve">VERAO TINTAS</x:t>
  </x:si>
  <x:si>
    <x:t xml:space="preserve">01/04/2026</x:t>
  </x:si>
  <x:si>
    <x:t xml:space="preserve">RODOLFO FERREIRA - POSTO DE MOLAS RT</x:t>
  </x:si>
  <x:si>
    <x:t xml:space="preserve">HIPER TRUCK</x:t>
  </x:si>
  <x:si>
    <x:t xml:space="preserve">NFE 397</x:t>
  </x:si>
  <x:si>
    <x:t xml:space="preserve">28.823.117MAUROASSUNCAOHONORIO</x:t>
  </x:si>
  <x:si>
    <x:t xml:space="preserve">PARC 1/9</x:t>
  </x:si>
  <x:si>
    <x:t xml:space="preserve">ELCYR</x:t>
  </x:si>
  <x:si>
    <x:t xml:space="preserve">CONSÓRCIO 1/52</x:t>
  </x:si>
  <x:si>
    <x:t xml:space="preserve">ITAÚ</x:t>
  </x:si>
  <x:si>
    <x:t xml:space="preserve">PARCELA GIRO 1/60</x:t>
  </x:si>
  <x:si>
    <x:t xml:space="preserve">GIRO</x:t>
  </x:si>
  <x:si>
    <x:t xml:space="preserve">NFE 135</x:t>
  </x:si>
  <x:si>
    <x:t xml:space="preserve">NFE 452</x:t>
  </x:si>
  <x:si>
    <x:t xml:space="preserve">03/04/2026</x:t>
  </x:si>
  <x:si>
    <x:t xml:space="preserve">jkv</x:t>
  </x:si>
  <x:si>
    <x:t xml:space="preserve">jpm</x:t>
  </x:si>
  <x:si>
    <x:t xml:space="preserve">04/04/2026</x:t>
  </x:si>
  <x:si>
    <x:t xml:space="preserve">NFE 51288990</x:t>
  </x:si>
  <x:si>
    <x:t xml:space="preserve">DIRCEU COLARES</x:t>
  </x:si>
  <x:si>
    <x:t xml:space="preserve">05/04/2026</x:t>
  </x:si>
  <x:si>
    <x:t xml:space="preserve">NFE 2709</x:t>
  </x:si>
  <x:si>
    <x:t xml:space="preserve">TTL7A44</x:t>
  </x:si>
  <x:si>
    <x:t xml:space="preserve">DETRAN/RJ</x:t>
  </x:si>
  <x:si>
    <x:t xml:space="preserve">06/04/2026</x:t>
  </x:si>
  <x:si>
    <x:t xml:space="preserve">08/04/2026</x:t>
  </x:si>
  <x:si>
    <x:t xml:space="preserve">NFE 9764</x:t>
  </x:si>
  <x:si>
    <x:t xml:space="preserve">cros</x:t>
  </x:si>
  <x:si>
    <x:t xml:space="preserve">07/04/2026</x:t>
  </x:si>
  <x:si>
    <x:t xml:space="preserve">NFE 31176</x:t>
  </x:si>
  <x:si>
    <x:t xml:space="preserve">frutvale</x:t>
  </x:si>
  <x:si>
    <x:t xml:space="preserve">VERDE</x:t>
  </x:si>
  <x:si>
    <x:t xml:space="preserve">NFE 51328227</x:t>
  </x:si>
  <x:si>
    <x:t xml:space="preserve">DALTON COLARES</x:t>
  </x:si>
  <x:si>
    <x:t xml:space="preserve">NFE 402</x:t>
  </x:si>
  <x:si>
    <x:t xml:space="preserve">NFE 51346028</x:t>
  </x:si>
  <x:si>
    <x:t xml:space="preserve">NFE 404</x:t>
  </x:si>
  <x:si>
    <x:t xml:space="preserve">09/04/2026</x:t>
  </x:si>
  <x:si>
    <x:t xml:space="preserve">COMPRA DE PEÇAS + SERVIÇO</x:t>
  </x:si>
  <x:si>
    <x:t xml:space="preserve">53.529.687STEPHANIEGALLODAMAZIO</x:t>
  </x:si>
  <x:si>
    <x:t xml:space="preserve">NFE 140</x:t>
  </x:si>
  <x:si>
    <x:t xml:space="preserve">10/04/2026</x:t>
  </x:si>
  <x:si>
    <x:t xml:space="preserve">POSTO GALISCO</x:t>
  </x:si>
  <x:si>
    <x:t xml:space="preserve">NFE 31181</x:t>
  </x:si>
  <x:si>
    <x:t xml:space="preserve">NFE 51382527</x:t>
  </x:si>
  <x:si>
    <x:t xml:space="preserve">12/04/2026</x:t>
  </x:si>
  <x:si>
    <x:t xml:space="preserve">NFE 994</x:t>
  </x:si>
  <x:si>
    <x:t xml:space="preserve">AGRO SAO JOSE DE JANAUBA</x:t>
  </x:si>
  <x:si>
    <x:t xml:space="preserve">11/04/2026</x:t>
  </x:si>
  <x:si>
    <x:t xml:space="preserve">NFE 51378397</x:t>
  </x:si>
  <x:si>
    <x:t xml:space="preserve">MARIELE CAIRES ANTUNES</x:t>
  </x:si>
  <x:si>
    <x:t xml:space="preserve">CARLOS EDUARDO DE SOUZA</x:t>
  </x:si>
  <x:si>
    <x:t xml:space="preserve">13/04/2026</x:t>
  </x:si>
  <x:si>
    <x:t xml:space="preserve">POSTO FORMIGAO</x:t>
  </x:si>
  <x:si>
    <x:t xml:space="preserve">NFE 410</x:t>
  </x:si>
  <x:si>
    <x:t xml:space="preserve">14/04/2026</x:t>
  </x:si>
  <x:si>
    <x:t xml:space="preserve">NFE 411</x:t>
  </x:si>
  <x:si>
    <x:t xml:space="preserve">BUONNY</x:t>
  </x:si>
  <x:si>
    <x:t xml:space="preserve">NFE 1002</x:t>
  </x:si>
  <x:si>
    <x:t xml:space="preserve">15/04/2026</x:t>
  </x:si>
  <x:si>
    <x:t xml:space="preserve">NFE 813</x:t>
  </x:si>
  <x:si>
    <x:t xml:space="preserve">RODOLPHO VELLOSO</x:t>
  </x:si>
  <x:si>
    <x:t xml:space="preserve">NFE 148</x:t>
  </x:si>
  <x:si>
    <x:t xml:space="preserve">16/04/2026</x:t>
  </x:si>
  <x:si>
    <x:t xml:space="preserve">NFE 31195</x:t>
  </x:si>
  <x:si>
    <x:t xml:space="preserve">NFE 569</x:t>
  </x:si>
  <x:si>
    <x:t xml:space="preserve">SERGIO MACHADO</x:t>
  </x:si>
  <x:si>
    <x:t xml:space="preserve">17/04/2026</x:t>
  </x:si>
  <x:si>
    <x:t xml:space="preserve">18/04/2026</x:t>
  </x:si>
  <x:si>
    <x:t xml:space="preserve">20/04/2026</x:t>
  </x:si>
  <x:si>
    <x:t xml:space="preserve">21/04/2026</x:t>
  </x:si>
  <x:si>
    <x:t xml:space="preserve">NFE 149</x:t>
  </x:si>
  <x:si>
    <x:t xml:space="preserve">NFE 51471982</x:t>
  </x:si>
  <x:si>
    <x:t xml:space="preserve">19/04/2026</x:t>
  </x:si>
  <x:si>
    <x:t xml:space="preserve">NFE 1009</x:t>
  </x:si>
  <x:si>
    <x:t xml:space="preserve">NFE 123</x:t>
  </x:si>
  <x:si>
    <x:t xml:space="preserve">BANOFFEE</x:t>
  </x:si>
  <x:si>
    <x:t xml:space="preserve">22/04/2026</x:t>
  </x:si>
  <x:si>
    <x:t xml:space="preserve">NFE 4072</x:t>
  </x:si>
  <x:si>
    <x:t xml:space="preserve">ARTHUR VICENTE</x:t>
  </x:si>
  <x:si>
    <x:t xml:space="preserve">NFE 568</x:t>
  </x:si>
  <x:si>
    <x:t xml:space="preserve">NFE 817</x:t>
  </x:si>
  <x:si>
    <x:t xml:space="preserve">23/04/2026</x:t>
  </x:si>
  <x:si>
    <x:t xml:space="preserve">NFE 420</x:t>
  </x:si>
  <x:si>
    <x:t xml:space="preserve">NFE 152</x:t>
  </x:si>
  <x:si>
    <x:t xml:space="preserve">24/04/2026</x:t>
  </x:si>
  <x:si>
    <x:t xml:space="preserve">POSTO CAPIVARI</x:t>
  </x:si>
  <x:si>
    <x:t xml:space="preserve">GRT 2026</x:t>
  </x:si>
  <x:si>
    <x:t xml:space="preserve">CONSÓRCIO 2/52</x:t>
  </x:si>
  <x:si>
    <x:t xml:space="preserve">NFE 422</x:t>
  </x:si>
  <x:si>
    <x:t xml:space="preserve">25/04/2026</x:t>
  </x:si>
  <x:si>
    <x:t xml:space="preserve">NFE 3187</x:t>
  </x:si>
  <x:si>
    <x:t xml:space="preserve">NFE 1020</x:t>
  </x:si>
  <x:si>
    <x:t xml:space="preserve">28/04/2026</x:t>
  </x:si>
  <x:si>
    <x:t xml:space="preserve">NFE 9800</x:t>
  </x:si>
  <x:si>
    <x:t xml:space="preserve">NFE 31217</x:t>
  </x:si>
  <x:si>
    <x:t xml:space="preserve">26/04/2026</x:t>
  </x:si>
  <x:si>
    <x:t xml:space="preserve">NFE 2735</x:t>
  </x:si>
  <x:si>
    <x:t xml:space="preserve">NFE 51582199</x:t>
  </x:si>
  <x:si>
    <x:t xml:space="preserve">29/04/2026</x:t>
  </x:si>
  <x:si>
    <x:t xml:space="preserve">27/04/2026</x:t>
  </x:si>
  <x:si>
    <x:t xml:space="preserve">NFE 111</x:t>
  </x:si>
  <x:si>
    <x:t xml:space="preserve">SWZ AGROPECUARIA</x:t>
  </x:si>
  <x:si>
    <x:t xml:space="preserve">30/04/2026</x:t>
  </x:si>
  <x:si>
    <x:t xml:space="preserve">PARC 2/9</x:t>
  </x:si>
  <x:si>
    <x:t xml:space="preserve">NFE 428</x:t>
  </x:si>
  <x:si>
    <x:t xml:space="preserve">CARLOS </x:t>
  </x:si>
  <x:si>
    <x:t xml:space="preserve">NFE 9804</x:t>
  </x:si>
  <x:si>
    <x:t xml:space="preserve">NFE 822</x:t>
  </x:si>
</x:sst>
</file>

<file path=xl/styles.xml><?xml version="1.0" encoding="utf-8"?>
<x:styleSheet xmlns:x="http://schemas.openxmlformats.org/spreadsheetml/2006/main">
  <x:numFmts count="6">
    <x:numFmt numFmtId="44" formatCode="_-&quot;R$&quot;\ * #,##0.00_-;\-&quot;R$&quot;\ * #,##0.00_-;_-&quot;R$&quot;\ * &quot;-&quot;??_-;_-@_-"/>
    <x:numFmt numFmtId="164" formatCode="&quot;R$&quot;\ #,##0.00"/>
    <x:numFmt numFmtId="165" formatCode="0.0"/>
    <x:numFmt numFmtId="166" formatCode="[$-416]d\-mmm;@"/>
    <x:numFmt numFmtId="167" formatCode="dd/mm/yy;@"/>
    <x:numFmt numFmtId="168" formatCode="yyyy\-mm\-dd;@"/>
  </x:numFmts>
  <x:fonts count="7">
    <x:font>
      <x:sz val="11"/>
      <x:color theme="1"/>
      <x:name val="Calibri"/>
    </x:font>
    <x:font>
      <x:sz val="11"/>
      <x:color theme="1"/>
      <x:name val="Calibri"/>
    </x:font>
    <x:font>
      <x:sz val="12"/>
      <x:color theme="1"/>
      <x:name val="Calibri"/>
    </x:font>
    <x:font>
      <x:sz val="11"/>
      <x:name val="Calibri"/>
    </x:font>
    <x:font>
      <x:sz val="11"/>
      <x:color rgb="FF000000"/>
      <x:name val="Aptos Narrow"/>
    </x:font>
    <x:font>
      <x:b/>
      <x:sz val="8"/>
      <x:color indexed="9"/>
      <x:name val="Arial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9" tint="0.59999"/>
      </x:patternFill>
    </x:fill>
    <x:fill>
      <x:patternFill patternType="solid">
        <x:fgColor rgb="FFFFFF00"/>
      </x:patternFill>
    </x:fill>
    <x:fill>
      <x:patternFill patternType="solid">
        <x:fgColor indexed="23"/>
      </x:patternFill>
    </x:fill>
    <x:fill>
      <x:patternFill patternType="solid">
        <x:fgColor rgb="FF004B8D"/>
      </x:patternFill>
    </x:fill>
  </x:fills>
  <x:borders count="17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</x:borders>
  <x:cellStyleXfs count="3">
    <x:xf numFmtId="0" fontId="0" fillId="0" borderId="0"/>
    <x:xf numFmtId="0" fontId="2" fillId="0" borderId="0"/>
    <x:xf numFmtId="9" fontId="1" fillId="0" borderId="0" applyFont="0" applyFill="0" applyBorder="0" applyAlignment="0" applyProtection="0"/>
  </x:cellStyleXfs>
  <x:cellXfs count="57">
    <x:xf numFmtId="0" fontId="0" fillId="0" borderId="0" xfId="0"/>
    <x:xf numFmtId="0" fontId="0" fillId="0" borderId="0" xfId="0" applyAlignment="1">
      <x:alignment horizontal="center"/>
    </x:xf>
    <x:xf numFmtId="0" fontId="0" fillId="0" borderId="1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 wrapText="1"/>
    </x:xf>
    <x:xf numFmtId="0" fontId="0" fillId="0" borderId="4" xfId="0" applyBorder="1" applyAlignment="1">
      <x:alignment horizontal="center"/>
    </x:xf>
    <x:xf numFmtId="0" fontId="0" fillId="0" borderId="5" xfId="0" applyBorder="1" applyAlignment="1">
      <x:alignment horizontal="center"/>
    </x:xf>
    <x:xf numFmtId="0" fontId="0" fillId="0" borderId="6" xfId="0" applyBorder="1" applyAlignment="1">
      <x:alignment horizontal="center"/>
    </x:xf>
    <x:xf numFmtId="0" fontId="0" fillId="0" borderId="7" xfId="0" applyBorder="1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0" xfId="0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/>
    </x:xf>
    <x:xf numFmtId="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/>
    </x:xf>
    <x:xf numFmtId="165" fontId="0" fillId="0" borderId="0" xfId="0" applyNumberFormat="1" applyAlignment="1">
      <x:alignment horizontal="center" vertical="center"/>
    </x:xf>
    <x:xf numFmtId="165" fontId="0" fillId="0" borderId="0" xfId="0" applyNumberFormat="1" applyAlignment="1">
      <x:alignment horizontal="center"/>
    </x:xf>
    <x:xf numFmtId="166" fontId="0" fillId="0" borderId="0" xfId="0" applyNumberFormat="1" applyAlignment="1">
      <x:alignment horizontal="center" vertical="center"/>
    </x:xf>
    <x:xf numFmtId="166" fontId="0" fillId="0" borderId="0" xfId="0" applyNumberFormat="1" applyAlignment="1">
      <x:alignment horizontal="center"/>
    </x:xf>
    <x:xf numFmtId="0" fontId="2" fillId="0" borderId="0" xfId="1" applyAlignment="1">
      <x:alignment horizontal="center"/>
    </x:xf>
    <x:xf numFmtId="0" fontId="0" fillId="0" borderId="0" xfId="0" applyAlignment="1">
      <x:alignment horizontal="center" vertical="center" wrapText="1"/>
    </x:xf>
    <x:xf numFmtId="14" fontId="0" fillId="0" borderId="0" xfId="0" applyNumberFormat="1" applyAlignment="1">
      <x:alignment horizontal="center"/>
    </x:xf>
    <x:xf numFmtId="0" fontId="0" fillId="2" borderId="0" xfId="0" applyFill="1" applyAlignment="1">
      <x:alignment horizontal="center"/>
    </x:xf>
    <x:xf numFmtId="14" fontId="0" fillId="0" borderId="9" xfId="0" applyNumberFormat="1" applyBorder="1" applyAlignment="1">
      <x:alignment horizontal="center"/>
    </x:xf>
    <x:xf numFmtId="0" fontId="0" fillId="0" borderId="9" xfId="0" applyBorder="1" applyAlignment="1">
      <x:alignment horizontal="center"/>
    </x:xf>
    <x:xf numFmtId="14" fontId="0" fillId="3" borderId="9" xfId="0" applyNumberFormat="1" applyFill="1" applyBorder="1" applyAlignment="1">
      <x:alignment horizontal="center"/>
    </x:xf>
    <x:xf numFmtId="49" fontId="0" fillId="2" borderId="9" xfId="0" applyNumberFormat="1" applyFill="1" applyBorder="1" applyAlignment="1">
      <x:alignment horizontal="center"/>
    </x:xf>
    <x:xf numFmtId="0" fontId="0" fillId="0" borderId="11" xfId="0" applyBorder="1" applyAlignment="1">
      <x:alignment horizontal="center"/>
    </x:xf>
    <x:xf numFmtId="0" fontId="0" fillId="0" borderId="12" xfId="0" applyBorder="1" applyAlignment="1">
      <x:alignment horizontal="center"/>
    </x:xf>
    <x:xf numFmtId="0" fontId="0" fillId="0" borderId="10" xfId="0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4" borderId="9" xfId="0" applyFill="1" applyBorder="1" applyAlignment="1">
      <x:alignment horizontal="center"/>
    </x:xf>
    <x:xf numFmtId="14" fontId="0" fillId="2" borderId="14" xfId="0" applyNumberFormat="1" applyFill="1" applyBorder="1" applyAlignment="1">
      <x:alignment horizontal="center"/>
    </x:xf>
    <x:xf numFmtId="4" fontId="0" fillId="2" borderId="15" xfId="0" applyNumberFormat="1" applyFill="1" applyBorder="1" applyAlignment="1">
      <x:alignment horizontal="center"/>
    </x:xf>
    <x:xf numFmtId="49" fontId="0" fillId="2" borderId="14" xfId="0" applyNumberFormat="1" applyFill="1" applyBorder="1" applyAlignment="1">
      <x:alignment horizontal="center"/>
    </x:xf>
    <x:xf numFmtId="49" fontId="0" fillId="2" borderId="13" xfId="0" applyNumberFormat="1" applyFill="1" applyBorder="1" applyAlignment="1">
      <x:alignment horizontal="center"/>
    </x:xf>
    <x:xf numFmtId="14" fontId="0" fillId="3" borderId="14" xfId="0" applyNumberFormat="1" applyFill="1" applyBorder="1" applyAlignment="1">
      <x:alignment horizontal="center"/>
    </x:xf>
    <x:xf numFmtId="167" fontId="0" fillId="2" borderId="14" xfId="0" applyNumberFormat="1" applyFill="1" applyBorder="1" applyAlignment="1">
      <x:alignment horizontal="center"/>
    </x:xf>
    <x:xf numFmtId="49" fontId="5" fillId="5" borderId="14" xfId="0" applyNumberFormat="1" applyFont="1" applyFill="1" applyBorder="1" applyAlignment="1">
      <x:alignment horizontal="center"/>
    </x:xf>
    <x:xf numFmtId="14" fontId="5" fillId="5" borderId="14" xfId="0" applyNumberFormat="1" applyFont="1" applyFill="1" applyBorder="1" applyAlignment="1">
      <x:alignment horizontal="center"/>
    </x:xf>
    <x:xf numFmtId="0" fontId="5" fillId="5" borderId="14" xfId="0" applyFont="1" applyFill="1" applyBorder="1" applyAlignment="1">
      <x:alignment horizontal="center"/>
    </x:xf>
    <x:xf numFmtId="49" fontId="0" fillId="2" borderId="0" xfId="0" applyNumberFormat="1" applyFill="1" applyAlignment="1">
      <x:alignment horizontal="center"/>
    </x:xf>
    <x:xf numFmtId="14" fontId="0" fillId="4" borderId="14" xfId="0" applyNumberFormat="1" applyFill="1" applyBorder="1" applyAlignment="1">
      <x:alignment horizontal="center"/>
    </x:xf>
    <x:xf numFmtId="14" fontId="0" fillId="3" borderId="13" xfId="0" applyNumberFormat="1" applyFill="1" applyBorder="1" applyAlignment="1">
      <x:alignment horizontal="center"/>
    </x:xf>
    <x:xf numFmtId="44" fontId="0" fillId="0" borderId="9" xfId="0" applyNumberFormat="1" applyBorder="1" applyAlignment="1">
      <x:alignment horizontal="center"/>
    </x:xf>
    <x:xf numFmtId="168" fontId="0" fillId="2" borderId="14" xfId="0" applyNumberFormat="1" applyFill="1" applyBorder="1" applyAlignment="1">
      <x:alignment horizontal="center"/>
    </x:xf>
    <x:xf numFmtId="14" fontId="0" fillId="0" borderId="12" xfId="0" applyNumberFormat="1" applyBorder="1" applyAlignment="1">
      <x:alignment horizontal="center"/>
    </x:xf>
    <x:xf numFmtId="14" fontId="0" fillId="0" borderId="10" xfId="0" applyNumberFormat="1" applyBorder="1" applyAlignment="1">
      <x:alignment horizontal="center"/>
    </x:xf>
    <x:xf numFmtId="4" fontId="0" fillId="2" borderId="14" xfId="0" applyNumberFormat="1" applyFill="1" applyBorder="1" applyAlignment="1">
      <x:alignment horizontal="center"/>
    </x:xf>
    <x:xf numFmtId="4" fontId="3" fillId="2" borderId="14" xfId="2" applyNumberFormat="1" applyFont="1" applyFill="1" applyBorder="1" applyAlignment="1">
      <x:alignment horizontal="center"/>
    </x:xf>
    <x:xf numFmtId="0" fontId="4" fillId="0" borderId="0" xfId="0" applyFont="1" applyAlignment="1">
      <x:alignment horizontal="center"/>
    </x:xf>
    <x:xf numFmtId="49" fontId="0" fillId="2" borderId="16" xfId="0" applyNumberFormat="1" applyFill="1" applyBorder="1" applyAlignment="1">
      <x:alignment horizontal="center"/>
    </x:xf>
    <x:xf numFmtId="168" fontId="0" fillId="2" borderId="13" xfId="0" applyNumberForma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3">
    <x:cellStyle name="Normal" xfId="0"/>
    <x:cellStyle name="Normal 2" xfId="1"/>
    <x:cellStyle name="Porcentagem" xfId="2"/>
  </x:cellStyles>
  <x:dxfs count="7"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e62cd5f1a4b2f" /><Relationship Type="http://schemas.openxmlformats.org/officeDocument/2006/relationships/theme" Target="/xl/theme/theme1.xml" Id="R801c6aae00904164" /><Relationship Type="http://schemas.openxmlformats.org/officeDocument/2006/relationships/sharedStrings" Target="/xl/sharedStrings.xml" Id="R96000cd51d7b4175" /><Relationship Type="http://schemas.openxmlformats.org/officeDocument/2006/relationships/worksheet" Target="/xl/worksheets/sheet1.xml" Id="Rcc7fbea6b719415b" /><Relationship Type="http://schemas.openxmlformats.org/officeDocument/2006/relationships/worksheet" Target="/xl/worksheets/sheet2.xml" Id="Rc41d6d43fa114d19" /><Relationship Type="http://schemas.openxmlformats.org/officeDocument/2006/relationships/worksheet" Target="/xl/worksheets/sheet3.xml" Id="Rc40c0928e7a74cdc" /><Relationship Type="http://schemas.openxmlformats.org/officeDocument/2006/relationships/worksheet" Target="/xl/worksheets/sheet4.xml" Id="Rabc7269ae49143c3" /><Relationship Type="http://schemas.openxmlformats.org/officeDocument/2006/relationships/worksheet" Target="/xl/worksheets/sheet5.xml" Id="R515470f7bbe04be6" /><Relationship Type="http://schemas.openxmlformats.org/officeDocument/2006/relationships/worksheet" Target="/xl/worksheets/sheet6.xml" Id="R3695df087b23466e" /><Relationship Type="http://schemas.openxmlformats.org/officeDocument/2006/relationships/worksheet" Target="/xl/worksheets/sheet7.xml" Id="Rafd601fc14e84559" /><Relationship Type="http://schemas.openxmlformats.org/officeDocument/2006/relationships/worksheet" Target="/xl/worksheets/sheet8.xml" Id="Re639871a6833425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style="18" customWidth="1"/>
    <x:col min="2" max="2" width="12.85546875" style="1" customWidth="1"/>
    <x:col min="3" max="3" width="12.85546875" style="1" customWidth="1"/>
    <x:col min="4" max="4" width="21.5703125" style="1" customWidth="1"/>
    <x:col min="5" max="5" width="11" style="1" customWidth="1"/>
    <x:col min="6" max="6" width="5.85546875" style="1" customWidth="1"/>
    <x:col min="7" max="7" width="17.85546875" style="16" customWidth="1"/>
    <x:col min="8" max="8" width="12.7109375" style="12" customWidth="1"/>
    <x:col min="9" max="9" width="17.28515625" style="14" customWidth="1"/>
    <x:col min="10" max="10" width="15.85546875" style="1" customWidth="1"/>
    <x:col min="11" max="11" width="12.85546875" style="1" customWidth="1"/>
    <x:col min="12" max="12" width="9.28515625" style="1" customWidth="1"/>
    <x:col min="13" max="13" width="21.5703125" style="1" customWidth="1"/>
    <x:col min="14" max="14" width="9.140625" style="1" customWidth="1"/>
    <x:col min="15" max="15" width="6.85546875" style="1" customWidth="1"/>
    <x:col min="16" max="16" width="9" style="1" customWidth="1"/>
    <x:col min="17" max="17" width="8.5703125" style="1" customWidth="1"/>
    <x:col min="18" max="18" width="9.140625" style="1" customWidth="1"/>
    <x:col min="19" max="16384" width="9.140625" style="1" customWidth="0"/>
  </x:cols>
  <x:sheetData>
    <x:row r="1" s="10" customFormat="1">
      <x:c r="A1" s="17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5" t="s">
        <x:v>6</x:v>
      </x:c>
      <x:c r="H1" s="11" t="s">
        <x:v>7</x:v>
      </x:c>
      <x:c r="I1" s="13" t="s">
        <x:v>8</x:v>
      </x:c>
      <x:c r="J1" s="10" t="s">
        <x:v>9</x:v>
      </x:c>
    </x:row>
    <x:row r="2">
      <x:c r="A2" s="18">
        <x:v>46023</x:v>
      </x:c>
      <x:c r="B2" s="1" t="s">
        <x:v>10</x:v>
      </x:c>
      <x:c r="C2" s="1" t="s">
        <x:v>11</x:v>
      </x:c>
      <x:c r="D2" s="1" t="s">
        <x:v>12</x:v>
      </x:c>
      <x:c r="E2" s="1">
        <x:v>22698</x:v>
      </x:c>
      <x:c r="F2" s="1">
        <x:v>8728</x:v>
      </x:c>
      <x:c r="G2" s="16">
        <x:v>2.6</x:v>
      </x:c>
      <x:c r="H2" s="12">
        <x:v>49749.599999999999</x:v>
      </x:c>
      <x:c r="I2" s="14">
        <x:v>62</x:v>
      </x:c>
      <x:c r="J2" s="1">
        <x:v>126</x:v>
      </x:c>
      <x:c r="K2" s="12"/>
    </x:row>
    <x:row r="3">
      <x:c r="A3" s="18">
        <x:v>46054</x:v>
      </x:c>
      <x:c r="B3" s="1" t="s">
        <x:v>10</x:v>
      </x:c>
      <x:c r="C3" s="1" t="s">
        <x:v>11</x:v>
      </x:c>
      <x:c r="D3" s="1" t="s">
        <x:v>12</x:v>
      </x:c>
      <x:c r="E3" s="1">
        <x:v>17435</x:v>
      </x:c>
      <x:c r="F3" s="1">
        <x:v>6597</x:v>
      </x:c>
      <x:c r="G3" s="16">
        <x:v>2.64</x:v>
      </x:c>
      <x:c r="H3" s="12">
        <x:v>38790.36</x:v>
      </x:c>
      <x:c r="I3" s="14">
        <x:v>53.674892471107462</x:v>
      </x:c>
      <x:c r="J3" s="1">
        <x:v>126</x:v>
      </x:c>
      <x:c r="K3" s="12"/>
    </x:row>
    <x:row r="4">
      <x:c r="A4" s="18">
        <x:v>46082</x:v>
      </x:c>
      <x:c r="B4" s="1" t="s">
        <x:v>10</x:v>
      </x:c>
      <x:c r="C4" s="1" t="s">
        <x:v>11</x:v>
      </x:c>
      <x:c r="D4" s="1" t="s">
        <x:v>12</x:v>
      </x:c>
      <x:c r="E4" s="1">
        <x:v>21967</x:v>
      </x:c>
      <x:c r="F4" s="1">
        <x:v>8281</x:v>
      </x:c>
      <x:c r="G4" s="16">
        <x:v>2.65</x:v>
      </x:c>
      <x:c r="H4" s="12">
        <x:v>53164.02</x:v>
      </x:c>
      <x:c r="I4" s="14">
        <x:v>59.575390702274973</x:v>
      </x:c>
      <x:c r="J4" s="1">
        <x:v>133</x:v>
      </x:c>
      <x:c r="K4" s="12"/>
    </x:row>
    <x:row r="5">
      <x:c r="A5" s="18">
        <x:v>46113</x:v>
      </x:c>
      <x:c r="B5" s="1" t="s">
        <x:v>10</x:v>
      </x:c>
      <x:c r="C5" s="1" t="s">
        <x:v>11</x:v>
      </x:c>
      <x:c r="D5" s="1" t="s">
        <x:v>12</x:v>
      </x:c>
      <x:c r="E5" s="1">
        <x:v>17435</x:v>
      </x:c>
      <x:c r="F5" s="1">
        <x:v>6597</x:v>
      </x:c>
      <x:c r="G5" s="16">
        <x:v>2.64</x:v>
      </x:c>
      <x:c r="H5" s="12">
        <x:v>45651.24</x:v>
      </x:c>
      <x:c r="I5" s="14">
        <x:v>59.780204379562043</x:v>
      </x:c>
      <x:c r="J5" s="1">
        <x:v>133</x:v>
      </x:c>
      <x:c r="K5" s="12"/>
    </x:row>
    <x:row r="6">
      <x:c r="A6" s="18">
        <x:v>46143</x:v>
      </x:c>
      <x:c r="B6" s="1" t="s">
        <x:v>10</x:v>
      </x:c>
      <x:c r="C6" s="1" t="s">
        <x:v>11</x:v>
      </x:c>
      <x:c r="D6" s="1" t="s">
        <x:v>12</x:v>
      </x:c>
      <x:c r="E6" s="1">
        <x:v>16244</x:v>
      </x:c>
      <x:c r="F6" s="1">
        <x:v>6346</x:v>
      </x:c>
      <x:c r="G6" s="16">
        <x:v>2.56</x:v>
      </x:c>
      <x:c r="H6" s="12">
        <x:v>46008.5</x:v>
      </x:c>
      <x:c r="I6" s="14">
        <x:v>57.649357784542268</x:v>
      </x:c>
      <x:c r="J6" s="1">
        <x:v>137</x:v>
      </x:c>
      <x:c r="K6" s="12"/>
    </x:row>
    <x:row r="7">
      <x:c r="A7" s="18">
        <x:v>46023</x:v>
      </x:c>
      <x:c r="B7" s="1" t="s">
        <x:v>13</x:v>
      </x:c>
      <x:c r="C7" s="1" t="s">
        <x:v>11</x:v>
      </x:c>
      <x:c r="D7" s="1" t="s">
        <x:v>14</x:v>
      </x:c>
      <x:c r="E7" s="1">
        <x:v>20868</x:v>
      </x:c>
      <x:c r="F7" s="1">
        <x:v>8591</x:v>
      </x:c>
      <x:c r="G7" s="16">
        <x:v>2.4300000000000002</x:v>
      </x:c>
      <x:c r="H7" s="12">
        <x:v>48968.7</x:v>
      </x:c>
      <x:c r="I7" s="14">
        <x:v>62.341268607640338</x:v>
      </x:c>
      <x:c r="J7" s="1">
        <x:v>133</x:v>
      </x:c>
      <x:c r="K7" s="12"/>
    </x:row>
    <x:row r="8">
      <x:c r="A8" s="18">
        <x:v>46054</x:v>
      </x:c>
      <x:c r="B8" s="1" t="s">
        <x:v>13</x:v>
      </x:c>
      <x:c r="C8" s="1" t="s">
        <x:v>11</x:v>
      </x:c>
      <x:c r="D8" s="1" t="s">
        <x:v>14</x:v>
      </x:c>
      <x:c r="E8" s="1">
        <x:v>23681</x:v>
      </x:c>
      <x:c r="F8" s="1">
        <x:v>9233</x:v>
      </x:c>
      <x:c r="G8" s="16">
        <x:v>2.56</x:v>
      </x:c>
      <x:c r="H8" s="12">
        <x:v>54290.04</x:v>
      </x:c>
      <x:c r="I8" s="14">
        <x:v>59.513614134721557</x:v>
      </x:c>
      <x:c r="J8" s="1">
        <x:v>137</x:v>
      </x:c>
      <x:c r="K8" s="12"/>
    </x:row>
    <x:row r="9">
      <x:c r="A9" s="18">
        <x:v>46082</x:v>
      </x:c>
      <x:c r="B9" s="1" t="s">
        <x:v>13</x:v>
      </x:c>
      <x:c r="C9" s="1" t="s">
        <x:v>11</x:v>
      </x:c>
      <x:c r="D9" s="1" t="s">
        <x:v>14</x:v>
      </x:c>
      <x:c r="E9" s="1">
        <x:v>26498</x:v>
      </x:c>
      <x:c r="F9" s="1">
        <x:v>10780</x:v>
      </x:c>
      <x:c r="G9" s="16">
        <x:v>2.46</x:v>
      </x:c>
      <x:c r="H9" s="12">
        <x:v>69207.600000000006</x:v>
      </x:c>
      <x:c r="I9" s="14">
        <x:v>67.760495739736641</x:v>
      </x:c>
      <x:c r="J9" s="1">
        <x:v>140</x:v>
      </x:c>
      <x:c r="K9" s="12"/>
    </x:row>
    <x:row r="10">
      <x:c r="A10" s="18">
        <x:v>46113</x:v>
      </x:c>
      <x:c r="B10" s="1" t="s">
        <x:v>13</x:v>
      </x:c>
      <x:c r="C10" s="1" t="s">
        <x:v>11</x:v>
      </x:c>
      <x:c r="D10" s="1" t="s">
        <x:v>14</x:v>
      </x:c>
      <x:c r="E10" s="1">
        <x:v>23681</x:v>
      </x:c>
      <x:c r="F10" s="1">
        <x:v>9233</x:v>
      </x:c>
      <x:c r="G10" s="16">
        <x:v>2.56</x:v>
      </x:c>
      <x:c r="H10" s="12">
        <x:v>63892.36</x:v>
      </x:c>
      <x:c r="I10" s="14">
        <x:v>64.81471192844046</x:v>
      </x:c>
      <x:c r="J10" s="1">
        <x:v>137</x:v>
      </x:c>
      <x:c r="K10" s="12"/>
    </x:row>
    <x:row r="11">
      <x:c r="A11" s="18">
        <x:v>46143</x:v>
      </x:c>
      <x:c r="B11" s="1" t="s">
        <x:v>13</x:v>
      </x:c>
      <x:c r="C11" s="1" t="s">
        <x:v>11</x:v>
      </x:c>
      <x:c r="D11" s="1" t="s">
        <x:v>14</x:v>
      </x:c>
      <x:c r="E11" s="1">
        <x:v>19413</x:v>
      </x:c>
      <x:c r="F11" s="1">
        <x:v>8087</x:v>
      </x:c>
      <x:c r="G11" s="16">
        <x:v>2.4</x:v>
      </x:c>
      <x:c r="H11" s="12">
        <x:v>58630.75</x:v>
      </x:c>
      <x:c r="I11" s="14">
        <x:v>61.426326409495537</x:v>
      </x:c>
      <x:c r="J11" s="1">
        <x:v>148</x:v>
      </x:c>
      <x:c r="K11" s="12"/>
    </x:row>
    <x:row r="12">
      <x:c r="A12" s="18">
        <x:v>46023</x:v>
      </x:c>
      <x:c r="B12" s="1" t="s">
        <x:v>15</x:v>
      </x:c>
      <x:c r="C12" s="1" t="s">
        <x:v>16</x:v>
      </x:c>
      <x:c r="D12" s="1" t="s">
        <x:v>12</x:v>
      </x:c>
      <x:c r="E12" s="1">
        <x:v>16178</x:v>
      </x:c>
      <x:c r="F12" s="1">
        <x:v>6221</x:v>
      </x:c>
      <x:c r="G12" s="16">
        <x:v>2.6</x:v>
      </x:c>
      <x:c r="H12" s="12">
        <x:v>35459.699999999997</x:v>
      </x:c>
      <x:c r="I12" s="14">
        <x:v>30.79918069</x:v>
      </x:c>
      <x:c r="J12" s="1">
        <x:v>122</x:v>
      </x:c>
      <x:c r="K12" s="12"/>
    </x:row>
    <x:row r="13">
      <x:c r="A13" s="18">
        <x:v>46054</x:v>
      </x:c>
      <x:c r="B13" s="1" t="s">
        <x:v>15</x:v>
      </x:c>
      <x:c r="C13" s="1" t="s">
        <x:v>16</x:v>
      </x:c>
      <x:c r="D13" s="1" t="s">
        <x:v>12</x:v>
      </x:c>
      <x:c r="E13" s="1">
        <x:v>13290</x:v>
      </x:c>
      <x:c r="F13" s="1">
        <x:v>5691</x:v>
      </x:c>
      <x:c r="G13" s="16">
        <x:v>2.34</x:v>
      </x:c>
      <x:c r="H13" s="12">
        <x:v>33463.08</x:v>
      </x:c>
      <x:c r="I13" s="14">
        <x:v>61.390179019999998</x:v>
      </x:c>
      <x:c r="J13" s="1">
        <x:v>122</x:v>
      </x:c>
      <x:c r="K13" s="12"/>
    </x:row>
    <x:row r="14">
      <x:c r="A14" s="18">
        <x:v>46082</x:v>
      </x:c>
      <x:c r="B14" s="1" t="s">
        <x:v>15</x:v>
      </x:c>
      <x:c r="C14" s="1" t="s">
        <x:v>16</x:v>
      </x:c>
      <x:c r="D14" s="1" t="s">
        <x:v>12</x:v>
      </x:c>
      <x:c r="E14" s="1">
        <x:v>14591</x:v>
      </x:c>
      <x:c r="F14" s="1">
        <x:v>5332</x:v>
      </x:c>
      <x:c r="G14" s="16">
        <x:v>2.74</x:v>
      </x:c>
      <x:c r="H14" s="12">
        <x:v>34231.440000000002</x:v>
      </x:c>
      <x:c r="I14" s="14">
        <x:v>61.299526129999997</x:v>
      </x:c>
      <x:c r="J14" s="1">
        <x:v>122</x:v>
      </x:c>
      <x:c r="K14" s="12"/>
    </x:row>
    <x:row r="15">
      <x:c r="A15" s="18">
        <x:v>46113</x:v>
      </x:c>
      <x:c r="B15" s="1" t="s">
        <x:v>15</x:v>
      </x:c>
      <x:c r="C15" s="1" t="s">
        <x:v>16</x:v>
      </x:c>
      <x:c r="D15" s="1" t="s">
        <x:v>12</x:v>
      </x:c>
      <x:c r="E15" s="1">
        <x:v>14873</x:v>
      </x:c>
      <x:c r="F15" s="1">
        <x:v>5776</x:v>
      </x:c>
      <x:c r="G15" s="16">
        <x:v>2.57</x:v>
      </x:c>
      <x:c r="H15" s="12">
        <x:v>39969.920000000013</x:v>
      </x:c>
      <x:c r="I15" s="14">
        <x:v>63.60545261</x:v>
      </x:c>
      <x:c r="J15" s="1">
        <x:v>133</x:v>
      </x:c>
      <x:c r="K15" s="12"/>
    </x:row>
    <x:row r="16">
      <x:c r="A16" s="18">
        <x:v>46143</x:v>
      </x:c>
      <x:c r="B16" s="1" t="s">
        <x:v>15</x:v>
      </x:c>
      <x:c r="C16" s="1" t="s">
        <x:v>16</x:v>
      </x:c>
      <x:c r="D16" s="1" t="s">
        <x:v>12</x:v>
      </x:c>
      <x:c r="E16" s="1">
        <x:v>16821</x:v>
      </x:c>
      <x:c r="F16" s="1">
        <x:v>7264</x:v>
      </x:c>
      <x:c r="G16" s="16">
        <x:v>2.3199999999999998</x:v>
      </x:c>
      <x:c r="H16" s="12">
        <x:v>52664</x:v>
      </x:c>
      <x:c r="I16" s="14">
        <x:v>61.400809019999997</x:v>
      </x:c>
      <x:c r="J16" s="1">
        <x:v>137</x:v>
      </x:c>
      <x:c r="K16" s="12"/>
    </x:row>
    <x:row r="17">
      <x:c r="A17" s="18">
        <x:v>46023</x:v>
      </x:c>
      <x:c r="B17" s="1" t="s">
        <x:v>17</x:v>
      </x:c>
      <x:c r="C17" s="1" t="s">
        <x:v>16</x:v>
      </x:c>
      <x:c r="D17" s="1" t="s">
        <x:v>12</x:v>
      </x:c>
      <x:c r="E17" s="1">
        <x:v>3856</x:v>
      </x:c>
      <x:c r="F17" s="1">
        <x:v>1477</x:v>
      </x:c>
      <x:c r="G17" s="16">
        <x:v>2.61</x:v>
      </x:c>
      <x:c r="H17" s="12">
        <x:v>8418.9</x:v>
      </x:c>
      <x:c r="I17" s="14">
        <x:v>63.555932200000001</x:v>
      </x:c>
      <x:c r="J17" s="1">
        <x:v>115</x:v>
      </x:c>
      <x:c r="K17" s="12"/>
    </x:row>
    <x:row r="18">
      <x:c r="A18" s="18">
        <x:v>46054</x:v>
      </x:c>
      <x:c r="B18" s="1" t="s">
        <x:v>17</x:v>
      </x:c>
      <x:c r="C18" s="1" t="s">
        <x:v>16</x:v>
      </x:c>
      <x:c r="D18" s="1" t="s">
        <x:v>12</x:v>
      </x:c>
      <x:c r="E18" s="1">
        <x:v>11768</x:v>
      </x:c>
      <x:c r="F18" s="1">
        <x:v>5088</x:v>
      </x:c>
      <x:c r="G18" s="16">
        <x:v>2.31</x:v>
      </x:c>
      <x:c r="H18" s="12">
        <x:v>29917.439999999999</x:v>
      </x:c>
      <x:c r="I18" s="14">
        <x:v>65.743075039999994</x:v>
      </x:c>
      <x:c r="J18" s="1">
        <x:v>137</x:v>
      </x:c>
      <x:c r="K18" s="12"/>
    </x:row>
    <x:row r="19">
      <x:c r="A19" s="18">
        <x:v>46082</x:v>
      </x:c>
      <x:c r="B19" s="1" t="s">
        <x:v>17</x:v>
      </x:c>
      <x:c r="C19" s="1" t="s">
        <x:v>16</x:v>
      </x:c>
      <x:c r="D19" s="1" t="s">
        <x:v>12</x:v>
      </x:c>
      <x:c r="E19" s="1">
        <x:v>16239</x:v>
      </x:c>
      <x:c r="F19" s="1">
        <x:v>7265</x:v>
      </x:c>
      <x:c r="G19" s="16">
        <x:v>2.2400000000000002</x:v>
      </x:c>
      <x:c r="H19" s="12">
        <x:v>46641.3</x:v>
      </x:c>
      <x:c r="I19" s="14">
        <x:v>64.697048289999998</x:v>
      </x:c>
      <x:c r="J19" s="1">
        <x:v>133</x:v>
      </x:c>
      <x:c r="K19" s="12"/>
    </x:row>
    <x:row r="20">
      <x:c r="A20" s="18">
        <x:v>46113</x:v>
      </x:c>
      <x:c r="B20" s="1" t="s">
        <x:v>17</x:v>
      </x:c>
      <x:c r="C20" s="1" t="s">
        <x:v>16</x:v>
      </x:c>
      <x:c r="D20" s="1" t="s">
        <x:v>12</x:v>
      </x:c>
      <x:c r="E20" s="1">
        <x:v>13153</x:v>
      </x:c>
      <x:c r="F20" s="1">
        <x:v>5152</x:v>
      </x:c>
      <x:c r="G20" s="16">
        <x:v>2.5499999999999998</x:v>
      </x:c>
      <x:c r="H20" s="12">
        <x:v>35651.839999999997</x:v>
      </x:c>
      <x:c r="I20" s="14">
        <x:v>68.973833159999998</x:v>
      </x:c>
      <x:c r="J20" s="1">
        <x:v>133</x:v>
      </x:c>
      <x:c r="K20" s="12"/>
    </x:row>
    <x:row r="21">
      <x:c r="A21" s="18">
        <x:v>46143</x:v>
      </x:c>
      <x:c r="B21" s="1" t="s">
        <x:v>17</x:v>
      </x:c>
      <x:c r="C21" s="1" t="s">
        <x:v>16</x:v>
      </x:c>
      <x:c r="D21" s="1" t="s">
        <x:v>12</x:v>
      </x:c>
      <x:c r="E21" s="1">
        <x:v>12640</x:v>
      </x:c>
      <x:c r="F21" s="1">
        <x:v>5234</x:v>
      </x:c>
      <x:c r="G21" s="16">
        <x:v>2.41</x:v>
      </x:c>
      <x:c r="H21" s="12">
        <x:v>37946.5</x:v>
      </x:c>
      <x:c r="I21" s="14">
        <x:v>68.524708000000004</x:v>
      </x:c>
      <x:c r="J21" s="1">
        <x:v>137</x:v>
      </x:c>
      <x:c r="K21" s="12"/>
    </x:row>
    <x:row r="22">
      <x:c r="A22" s="18">
        <x:v>46023</x:v>
      </x:c>
      <x:c r="B22" s="1" t="s">
        <x:v>18</x:v>
      </x:c>
      <x:c r="C22" s="1" t="s">
        <x:v>16</x:v>
      </x:c>
      <x:c r="D22" s="1" t="s">
        <x:v>19</x:v>
      </x:c>
      <x:c r="E22" s="1">
        <x:v>18023</x:v>
      </x:c>
      <x:c r="F22" s="1">
        <x:v>6720</x:v>
      </x:c>
      <x:c r="G22" s="16">
        <x:v>2.68</x:v>
      </x:c>
      <x:c r="H22" s="12">
        <x:v>38304</x:v>
      </x:c>
      <x:c r="I22" s="14">
        <x:v>43.865230029999999</x:v>
      </x:c>
      <x:c r="J22" s="1">
        <x:v>148</x:v>
      </x:c>
      <x:c r="K22" s="12"/>
    </x:row>
    <x:row r="23">
      <x:c r="A23" s="18">
        <x:v>46054</x:v>
      </x:c>
      <x:c r="B23" s="1" t="s">
        <x:v>18</x:v>
      </x:c>
      <x:c r="C23" s="1" t="s">
        <x:v>16</x:v>
      </x:c>
      <x:c r="D23" s="1" t="s">
        <x:v>19</x:v>
      </x:c>
      <x:c r="E23" s="1">
        <x:v>19993</x:v>
      </x:c>
      <x:c r="F23" s="1">
        <x:v>7498</x:v>
      </x:c>
      <x:c r="G23" s="16">
        <x:v>2.67</x:v>
      </x:c>
      <x:c r="H23" s="12">
        <x:v>44088.24</x:v>
      </x:c>
      <x:c r="I23" s="14">
        <x:v>82.102752879999997</x:v>
      </x:c>
      <x:c r="J23" s="1">
        <x:v>148</x:v>
      </x:c>
      <x:c r="K23" s="12"/>
    </x:row>
    <x:row r="24">
      <x:c r="A24" s="18">
        <x:v>46082</x:v>
      </x:c>
      <x:c r="B24" s="1" t="s">
        <x:v>18</x:v>
      </x:c>
      <x:c r="C24" s="1" t="s">
        <x:v>16</x:v>
      </x:c>
      <x:c r="D24" s="1" t="s">
        <x:v>19</x:v>
      </x:c>
      <x:c r="E24" s="1">
        <x:v>18935</x:v>
      </x:c>
      <x:c r="F24" s="1">
        <x:v>7239</x:v>
      </x:c>
      <x:c r="G24" s="16">
        <x:v>2.62</x:v>
      </x:c>
      <x:c r="H24" s="12">
        <x:v>46474.38</x:v>
      </x:c>
      <x:c r="I24" s="14">
        <x:v>84.487978260000006</x:v>
      </x:c>
      <x:c r="J24" s="1">
        <x:v>148</x:v>
      </x:c>
      <x:c r="K24" s="12"/>
    </x:row>
    <x:row r="25">
      <x:c r="A25" s="18">
        <x:v>46113</x:v>
      </x:c>
      <x:c r="B25" s="1" t="s">
        <x:v>18</x:v>
      </x:c>
      <x:c r="C25" s="1" t="s">
        <x:v>16</x:v>
      </x:c>
      <x:c r="D25" s="1" t="s">
        <x:v>19</x:v>
      </x:c>
      <x:c r="E25" s="1">
        <x:v>7211</x:v>
      </x:c>
      <x:c r="F25" s="1">
        <x:v>21093</x:v>
      </x:c>
      <x:c r="G25" s="16">
        <x:v>0.34</x:v>
      </x:c>
      <x:c r="H25" s="12">
        <x:v>145963.56</x:v>
      </x:c>
      <x:c r="I25" s="14">
        <x:v>84.997786790000006</x:v>
      </x:c>
      <x:c r="J25" s="1">
        <x:v>148</x:v>
      </x:c>
      <x:c r="K25" s="12"/>
    </x:row>
    <x:row r="26">
      <x:c r="A26" s="18">
        <x:v>46143</x:v>
      </x:c>
      <x:c r="B26" s="1" t="s">
        <x:v>18</x:v>
      </x:c>
      <x:c r="C26" s="1" t="s">
        <x:v>16</x:v>
      </x:c>
      <x:c r="D26" s="1" t="s">
        <x:v>19</x:v>
      </x:c>
      <x:c r="E26" s="1">
        <x:v>2502</x:v>
      </x:c>
      <x:c r="F26" s="1">
        <x:v>914</x:v>
      </x:c>
      <x:c r="G26" s="16">
        <x:v>2.74</x:v>
      </x:c>
      <x:c r="H26" s="12">
        <x:v>6626.5</x:v>
      </x:c>
      <x:c r="I26" s="14">
        <x:v>63.955370649999999</x:v>
      </x:c>
      <x:c r="J26" s="1">
        <x:v>126</x:v>
      </x:c>
      <x:c r="K26" s="12"/>
    </x:row>
    <x:row r="27">
      <x:c r="A27" s="18">
        <x:v>46023</x:v>
      </x:c>
      <x:c r="B27" s="1" t="s">
        <x:v>20</x:v>
      </x:c>
      <x:c r="C27" s="1" t="s">
        <x:v>21</x:v>
      </x:c>
      <x:c r="D27" s="1" t="s">
        <x:v>22</x:v>
      </x:c>
      <x:c r="E27" s="1">
        <x:v>17446</x:v>
      </x:c>
      <x:c r="F27" s="1">
        <x:v>5218</x:v>
      </x:c>
      <x:c r="G27" s="16">
        <x:v>3.34</x:v>
      </x:c>
      <x:c r="H27" s="12">
        <x:v>29742.6</x:v>
      </x:c>
      <x:c r="I27" s="14">
        <x:v>53.922360953461983</x:v>
      </x:c>
      <x:c r="J27" s="1">
        <x:v>130</x:v>
      </x:c>
      <x:c r="K27" s="12"/>
    </x:row>
    <x:row r="28">
      <x:c r="A28" s="18">
        <x:v>46054</x:v>
      </x:c>
      <x:c r="B28" s="1" t="s">
        <x:v>20</x:v>
      </x:c>
      <x:c r="C28" s="1" t="s">
        <x:v>21</x:v>
      </x:c>
      <x:c r="D28" s="1" t="s">
        <x:v>22</x:v>
      </x:c>
      <x:c r="E28" s="1">
        <x:v>20728</x:v>
      </x:c>
      <x:c r="F28" s="1">
        <x:v>5907</x:v>
      </x:c>
      <x:c r="G28" s="16">
        <x:v>3.51</x:v>
      </x:c>
      <x:c r="H28" s="12">
        <x:v>34733.160000000003</x:v>
      </x:c>
      <x:c r="I28" s="14">
        <x:v>60.816599927193309</x:v>
      </x:c>
      <x:c r="J28" s="1">
        <x:v>130</x:v>
      </x:c>
      <x:c r="K28" s="12"/>
    </x:row>
    <x:row r="29">
      <x:c r="A29" s="18">
        <x:v>46082</x:v>
      </x:c>
      <x:c r="B29" s="1" t="s">
        <x:v>20</x:v>
      </x:c>
      <x:c r="C29" s="1" t="s">
        <x:v>21</x:v>
      </x:c>
      <x:c r="D29" s="1" t="s">
        <x:v>22</x:v>
      </x:c>
      <x:c r="E29" s="1">
        <x:v>19000</x:v>
      </x:c>
      <x:c r="F29" s="1">
        <x:v>5501</x:v>
      </x:c>
      <x:c r="G29" s="16">
        <x:v>3.45</x:v>
      </x:c>
      <x:c r="H29" s="12">
        <x:v>35316.42</x:v>
      </x:c>
      <x:c r="I29" s="14">
        <x:v>62.528540793137672</x:v>
      </x:c>
      <x:c r="J29" s="1">
        <x:v>126</x:v>
      </x:c>
      <x:c r="K29" s="12"/>
    </x:row>
    <x:row r="30">
      <x:c r="A30" s="18">
        <x:v>46113</x:v>
      </x:c>
      <x:c r="B30" s="1" t="s">
        <x:v>20</x:v>
      </x:c>
      <x:c r="C30" s="1" t="s">
        <x:v>21</x:v>
      </x:c>
      <x:c r="D30" s="1" t="s">
        <x:v>22</x:v>
      </x:c>
      <x:c r="E30" s="1">
        <x:v>20728</x:v>
      </x:c>
      <x:c r="F30" s="1">
        <x:v>5907</x:v>
      </x:c>
      <x:c r="G30" s="16">
        <x:v>3.51</x:v>
      </x:c>
      <x:c r="H30" s="12">
        <x:v>40876.44</x:v>
      </x:c>
      <x:c r="I30" s="14">
        <x:v>65.407206490127038</x:v>
      </x:c>
      <x:c r="J30" s="1">
        <x:v>126</x:v>
      </x:c>
      <x:c r="K30" s="12"/>
    </x:row>
    <x:row r="31">
      <x:c r="A31" s="18">
        <x:v>46143</x:v>
      </x:c>
      <x:c r="B31" s="1" t="s">
        <x:v>20</x:v>
      </x:c>
      <x:c r="C31" s="1" t="s">
        <x:v>21</x:v>
      </x:c>
      <x:c r="D31" s="1" t="s">
        <x:v>22</x:v>
      </x:c>
      <x:c r="E31" s="1">
        <x:v>18588</x:v>
      </x:c>
      <x:c r="F31" s="1">
        <x:v>5358</x:v>
      </x:c>
      <x:c r="G31" s="16">
        <x:v>3.47</x:v>
      </x:c>
      <x:c r="H31" s="12">
        <x:v>38845.5</x:v>
      </x:c>
      <x:c r="I31" s="14">
        <x:v>66.739629109107739</x:v>
      </x:c>
      <x:c r="J31" s="1">
        <x:v>126</x:v>
      </x:c>
      <x:c r="K31" s="12"/>
    </x:row>
    <x:row r="32">
      <x:c r="A32" s="18">
        <x:v>46023</x:v>
      </x:c>
      <x:c r="B32" s="1" t="s">
        <x:v>23</x:v>
      </x:c>
      <x:c r="C32" s="1" t="s">
        <x:v>11</x:v>
      </x:c>
      <x:c r="D32" s="1" t="s">
        <x:v>22</x:v>
      </x:c>
      <x:c r="E32" s="1">
        <x:v>29291</x:v>
      </x:c>
      <x:c r="F32" s="1">
        <x:v>8202</x:v>
      </x:c>
      <x:c r="G32" s="16">
        <x:v>3.57</x:v>
      </x:c>
      <x:c r="H32" s="12">
        <x:v>46751.4</x:v>
      </x:c>
      <x:c r="I32" s="14">
        <x:v>66.891657002524042</x:v>
      </x:c>
      <x:c r="J32" s="1">
        <x:v>122</x:v>
      </x:c>
      <x:c r="K32" s="12"/>
    </x:row>
    <x:row r="33">
      <x:c r="A33" s="18">
        <x:v>46054</x:v>
      </x:c>
      <x:c r="B33" s="1" t="s">
        <x:v>23</x:v>
      </x:c>
      <x:c r="C33" s="1" t="s">
        <x:v>11</x:v>
      </x:c>
      <x:c r="D33" s="1" t="s">
        <x:v>22</x:v>
      </x:c>
      <x:c r="E33" s="1">
        <x:v>24583</x:v>
      </x:c>
      <x:c r="F33" s="1">
        <x:v>7266</x:v>
      </x:c>
      <x:c r="G33" s="16">
        <x:v>3.38</x:v>
      </x:c>
      <x:c r="H33" s="12">
        <x:v>42724.08</x:v>
      </x:c>
      <x:c r="I33" s="14">
        <x:v>64.888619854721554</x:v>
      </x:c>
      <x:c r="J33" s="1">
        <x:v>115</x:v>
      </x:c>
      <x:c r="K33" s="12"/>
    </x:row>
    <x:row r="34">
      <x:c r="A34" s="18">
        <x:v>46082</x:v>
      </x:c>
      <x:c r="B34" s="1" t="s">
        <x:v>23</x:v>
      </x:c>
      <x:c r="C34" s="1" t="s">
        <x:v>11</x:v>
      </x:c>
      <x:c r="D34" s="1" t="s">
        <x:v>22</x:v>
      </x:c>
      <x:c r="E34" s="1">
        <x:v>19407</x:v>
      </x:c>
      <x:c r="F34" s="1">
        <x:v>5691</x:v>
      </x:c>
      <x:c r="G34" s="16">
        <x:v>3.41</x:v>
      </x:c>
      <x:c r="H34" s="12">
        <x:v>36536.22</x:v>
      </x:c>
      <x:c r="I34" s="14">
        <x:v>59.559727044175737</x:v>
      </x:c>
      <x:c r="J34" s="1">
        <x:v>144</x:v>
      </x:c>
      <x:c r="K34" s="12"/>
    </x:row>
    <x:row r="35">
      <x:c r="A35" s="18">
        <x:v>46113</x:v>
      </x:c>
      <x:c r="B35" s="1" t="s">
        <x:v>23</x:v>
      </x:c>
      <x:c r="C35" s="1" t="s">
        <x:v>11</x:v>
      </x:c>
      <x:c r="D35" s="1" t="s">
        <x:v>22</x:v>
      </x:c>
      <x:c r="E35" s="1">
        <x:v>24583</x:v>
      </x:c>
      <x:c r="F35" s="1">
        <x:v>7266</x:v>
      </x:c>
      <x:c r="G35" s="16">
        <x:v>3.38</x:v>
      </x:c>
      <x:c r="H35" s="12">
        <x:v>50280.72</x:v>
      </x:c>
      <x:c r="I35" s="14">
        <x:v>64.344207512024241</x:v>
      </x:c>
      <x:c r="J35" s="1">
        <x:v>137</x:v>
      </x:c>
      <x:c r="K35" s="12"/>
    </x:row>
    <x:row r="36">
      <x:c r="A36" s="18">
        <x:v>46143</x:v>
      </x:c>
      <x:c r="B36" s="1" t="s">
        <x:v>23</x:v>
      </x:c>
      <x:c r="C36" s="1" t="s">
        <x:v>11</x:v>
      </x:c>
      <x:c r="D36" s="1" t="s">
        <x:v>22</x:v>
      </x:c>
      <x:c r="E36" s="1">
        <x:v>21827</x:v>
      </x:c>
      <x:c r="F36" s="1">
        <x:v>6508</x:v>
      </x:c>
      <x:c r="G36" s="16">
        <x:v>3.35</x:v>
      </x:c>
      <x:c r="H36" s="12">
        <x:v>47183</x:v>
      </x:c>
      <x:c r="I36" s="14">
        <x:v>63.781092085448151</x:v>
      </x:c>
      <x:c r="J36" s="1">
        <x:v>140</x:v>
      </x:c>
      <x:c r="K36" s="12"/>
    </x:row>
    <x:row r="37">
      <x:c r="A37" s="18">
        <x:v>46023</x:v>
      </x:c>
      <x:c r="B37" s="1" t="s">
        <x:v>24</x:v>
      </x:c>
      <x:c r="C37" s="1" t="s">
        <x:v>11</x:v>
      </x:c>
      <x:c r="D37" s="1" t="s">
        <x:v>22</x:v>
      </x:c>
      <x:c r="E37" s="1">
        <x:v>16851</x:v>
      </x:c>
      <x:c r="F37" s="1">
        <x:v>5399</x:v>
      </x:c>
      <x:c r="G37" s="16">
        <x:v>3.12</x:v>
      </x:c>
      <x:c r="H37" s="12">
        <x:v>30774.3</x:v>
      </x:c>
      <x:c r="I37" s="14">
        <x:v>67.618718701433266</x:v>
      </x:c>
      <x:c r="J37" s="1">
        <x:v>141</x:v>
      </x:c>
      <x:c r="K37" s="12"/>
    </x:row>
    <x:row r="38">
      <x:c r="A38" s="18">
        <x:v>46054</x:v>
      </x:c>
      <x:c r="B38" s="1" t="s">
        <x:v>24</x:v>
      </x:c>
      <x:c r="C38" s="1" t="s">
        <x:v>11</x:v>
      </x:c>
      <x:c r="D38" s="1" t="s">
        <x:v>22</x:v>
      </x:c>
      <x:c r="E38" s="1">
        <x:v>23709</x:v>
      </x:c>
      <x:c r="F38" s="1">
        <x:v>7201</x:v>
      </x:c>
      <x:c r="G38" s="16">
        <x:v>3.29</x:v>
      </x:c>
      <x:c r="H38" s="12">
        <x:v>42341.88</x:v>
      </x:c>
      <x:c r="I38" s="14">
        <x:v>64.638832392986245</x:v>
      </x:c>
      <x:c r="J38" s="1">
        <x:v>140</x:v>
      </x:c>
      <x:c r="K38" s="12"/>
    </x:row>
    <x:row r="39">
      <x:c r="A39" s="18">
        <x:v>46082</x:v>
      </x:c>
      <x:c r="B39" s="1" t="s">
        <x:v>24</x:v>
      </x:c>
      <x:c r="C39" s="1" t="s">
        <x:v>11</x:v>
      </x:c>
      <x:c r="D39" s="1" t="s">
        <x:v>22</x:v>
      </x:c>
      <x:c r="E39" s="1">
        <x:v>20364</x:v>
      </x:c>
      <x:c r="F39" s="1">
        <x:v>6475</x:v>
      </x:c>
      <x:c r="G39" s="16">
        <x:v>3.15</x:v>
      </x:c>
      <x:c r="H39" s="12">
        <x:v>41569.5</x:v>
      </x:c>
      <x:c r="I39" s="14">
        <x:v>61.205562273276897</x:v>
      </x:c>
      <x:c r="J39" s="1">
        <x:v>142</x:v>
      </x:c>
      <x:c r="K39" s="12"/>
    </x:row>
    <x:row r="40">
      <x:c r="A40" s="18">
        <x:v>46113</x:v>
      </x:c>
      <x:c r="B40" s="1" t="s">
        <x:v>24</x:v>
      </x:c>
      <x:c r="C40" s="1" t="s">
        <x:v>11</x:v>
      </x:c>
      <x:c r="D40" s="1" t="s">
        <x:v>22</x:v>
      </x:c>
      <x:c r="E40" s="1">
        <x:v>23709</x:v>
      </x:c>
      <x:c r="F40" s="1">
        <x:v>7201</x:v>
      </x:c>
      <x:c r="G40" s="16">
        <x:v>3.29</x:v>
      </x:c>
      <x:c r="H40" s="12">
        <x:v>49830.92</x:v>
      </x:c>
      <x:c r="I40" s="14">
        <x:v>66.930892501371517</x:v>
      </x:c>
      <x:c r="J40" s="1">
        <x:v>141</x:v>
      </x:c>
      <x:c r="K40" s="12"/>
    </x:row>
    <x:row r="41">
      <x:c r="A41" s="18">
        <x:v>46143</x:v>
      </x:c>
      <x:c r="B41" s="1" t="s">
        <x:v>24</x:v>
      </x:c>
      <x:c r="C41" s="1" t="s">
        <x:v>11</x:v>
      </x:c>
      <x:c r="D41" s="1" t="s">
        <x:v>22</x:v>
      </x:c>
      <x:c r="E41" s="1">
        <x:v>20006</x:v>
      </x:c>
      <x:c r="F41" s="1">
        <x:v>6311</x:v>
      </x:c>
      <x:c r="G41" s="16">
        <x:v>3.17</x:v>
      </x:c>
      <x:c r="H41" s="12">
        <x:v>45754.75</x:v>
      </x:c>
      <x:c r="I41" s="14">
        <x:v>68.736766190682246</x:v>
      </x:c>
      <x:c r="J41" s="1">
        <x:v>145</x:v>
      </x:c>
      <x:c r="K41" s="12"/>
    </x:row>
    <x:row r="42">
      <x:c r="A42" s="18">
        <x:v>46113</x:v>
      </x:c>
      <x:c r="B42" s="1" t="s">
        <x:v>25</x:v>
      </x:c>
      <x:c r="C42" s="1" t="s">
        <x:v>11</x:v>
      </x:c>
      <x:c r="D42" s="1" t="s">
        <x:v>26</x:v>
      </x:c>
      <x:c r="E42" s="1">
        <x:v>175</x:v>
      </x:c>
      <x:c r="F42" s="1">
        <x:v>91</x:v>
      </x:c>
      <x:c r="G42" s="16">
        <x:v>1.92</x:v>
      </x:c>
      <x:c r="H42" s="12">
        <x:v>629.72</x:v>
      </x:c>
      <x:c r="I42" s="14">
        <x:v>10.964610169491531</x:v>
      </x:c>
      <x:c r="J42" s="1">
        <x:v>83</x:v>
      </x:c>
      <x:c r="K42" s="12"/>
    </x:row>
    <x:row r="43">
      <x:c r="A43" s="18">
        <x:v>46143</x:v>
      </x:c>
      <x:c r="B43" s="1" t="s">
        <x:v>25</x:v>
      </x:c>
      <x:c r="C43" s="1" t="s">
        <x:v>11</x:v>
      </x:c>
      <x:c r="D43" s="1" t="s">
        <x:v>26</x:v>
      </x:c>
      <x:c r="E43" s="1">
        <x:v>22072</x:v>
      </x:c>
      <x:c r="F43" s="1">
        <x:v>8140</x:v>
      </x:c>
      <x:c r="G43" s="16">
        <x:v>2.71</x:v>
      </x:c>
      <x:c r="H43" s="12">
        <x:v>59015</x:v>
      </x:c>
      <x:c r="I43" s="14">
        <x:v>63.211147215949772</x:v>
      </x:c>
      <x:c r="J43" s="1">
        <x:v>148</x:v>
      </x:c>
      <x:c r="K43" s="12"/>
    </x:row>
    <x:row r="44">
      <x:c r="A44" s="18">
        <x:v>46023</x:v>
      </x:c>
      <x:c r="B44" s="1" t="s">
        <x:v>27</x:v>
      </x:c>
      <x:c r="C44" s="1" t="s">
        <x:v>16</x:v>
      </x:c>
      <x:c r="D44" s="1" t="s">
        <x:v>12</x:v>
      </x:c>
      <x:c r="E44" s="1" t="s">
        <x:v>28</x:v>
      </x:c>
      <x:c r="F44" s="1" t="s">
        <x:v>28</x:v>
      </x:c>
      <x:c r="G44" s="16" t="s">
        <x:v>28</x:v>
      </x:c>
      <x:c r="K44" s="12"/>
    </x:row>
    <x:row r="45">
      <x:c r="A45" s="18">
        <x:v>46054</x:v>
      </x:c>
      <x:c r="B45" s="1" t="s">
        <x:v>27</x:v>
      </x:c>
      <x:c r="C45" s="1" t="s">
        <x:v>16</x:v>
      </x:c>
      <x:c r="D45" s="1" t="s">
        <x:v>12</x:v>
      </x:c>
      <x:c r="E45" s="1" t="s">
        <x:v>28</x:v>
      </x:c>
      <x:c r="F45" s="1" t="s">
        <x:v>28</x:v>
      </x:c>
      <x:c r="G45" s="16" t="s">
        <x:v>28</x:v>
      </x:c>
      <x:c r="K45" s="12"/>
    </x:row>
    <x:row r="46">
      <x:c r="A46" s="18">
        <x:v>46082</x:v>
      </x:c>
      <x:c r="B46" s="1" t="s">
        <x:v>27</x:v>
      </x:c>
      <x:c r="C46" s="1" t="s">
        <x:v>16</x:v>
      </x:c>
      <x:c r="D46" s="1" t="s">
        <x:v>12</x:v>
      </x:c>
      <x:c r="E46" s="1">
        <x:v>10931</x:v>
      </x:c>
      <x:c r="F46" s="1">
        <x:v>4937</x:v>
      </x:c>
      <x:c r="G46" s="16">
        <x:v>2.21</x:v>
      </x:c>
      <x:c r="H46" s="12">
        <x:v>31695.54</x:v>
      </x:c>
      <x:c r="I46" s="14">
        <x:v>60.635891219999998</x:v>
      </x:c>
      <x:c r="J46" s="1">
        <x:v>133</x:v>
      </x:c>
      <x:c r="K46" s="12"/>
    </x:row>
    <x:row r="47">
      <x:c r="A47" s="18">
        <x:v>46113</x:v>
      </x:c>
      <x:c r="B47" s="1" t="s">
        <x:v>27</x:v>
      </x:c>
      <x:c r="C47" s="1" t="s">
        <x:v>16</x:v>
      </x:c>
      <x:c r="D47" s="1" t="s">
        <x:v>12</x:v>
      </x:c>
      <x:c r="E47" s="1">
        <x:v>8439</x:v>
      </x:c>
      <x:c r="F47" s="1">
        <x:v>3505</x:v>
      </x:c>
      <x:c r="G47" s="16">
        <x:v>2.41</x:v>
      </x:c>
      <x:c r="H47" s="12">
        <x:v>24254.600000000009</x:v>
      </x:c>
      <x:c r="I47" s="14">
        <x:v>61.227841040000001</x:v>
      </x:c>
      <x:c r="J47" s="1">
        <x:v>126</x:v>
      </x:c>
      <x:c r="K47" s="12"/>
    </x:row>
    <x:row r="48">
      <x:c r="A48" s="18">
        <x:v>46143</x:v>
      </x:c>
      <x:c r="B48" s="1" t="s">
        <x:v>27</x:v>
      </x:c>
      <x:c r="C48" s="1" t="s">
        <x:v>16</x:v>
      </x:c>
      <x:c r="D48" s="1" t="s">
        <x:v>12</x:v>
      </x:c>
      <x:c r="E48" s="1">
        <x:v>10931</x:v>
      </x:c>
      <x:c r="F48" s="1">
        <x:v>4937</x:v>
      </x:c>
      <x:c r="G48" s="16">
        <x:v>2.21</x:v>
      </x:c>
      <x:c r="H48" s="12">
        <x:v>35793.25</x:v>
      </x:c>
      <x:c r="I48" s="14">
        <x:v>60.635891219999998</x:v>
      </x:c>
      <x:c r="J48" s="1">
        <x:v>133</x:v>
      </x:c>
      <x:c r="K48" s="12"/>
    </x:row>
    <x:row r="49">
      <x:c r="A49" s="18">
        <x:v>46023</x:v>
      </x:c>
      <x:c r="B49" s="1" t="s">
        <x:v>29</x:v>
      </x:c>
      <x:c r="C49" s="1" t="s">
        <x:v>30</x:v>
      </x:c>
      <x:c r="D49" s="1" t="s">
        <x:v>12</x:v>
      </x:c>
      <x:c r="E49" s="1">
        <x:v>11537</x:v>
      </x:c>
      <x:c r="F49" s="1">
        <x:v>4709</x:v>
      </x:c>
      <x:c r="G49" s="16">
        <x:v>2.4500000000000002</x:v>
      </x:c>
      <x:c r="H49" s="12">
        <x:v>26841.3</x:v>
      </x:c>
      <x:c r="I49" s="14">
        <x:v>62.895776859999998</x:v>
      </x:c>
      <x:c r="J49" s="1">
        <x:v>119</x:v>
      </x:c>
      <x:c r="K49" s="12"/>
    </x:row>
    <x:row r="50">
      <x:c r="A50" s="18">
        <x:v>46054</x:v>
      </x:c>
      <x:c r="B50" s="1" t="s">
        <x:v>29</x:v>
      </x:c>
      <x:c r="C50" s="1" t="s">
        <x:v>30</x:v>
      </x:c>
      <x:c r="D50" s="1" t="s">
        <x:v>12</x:v>
      </x:c>
      <x:c r="E50" s="1">
        <x:v>4740</x:v>
      </x:c>
      <x:c r="F50" s="1">
        <x:v>1891</x:v>
      </x:c>
      <x:c r="G50" s="16">
        <x:v>2.5099999999999998</x:v>
      </x:c>
      <x:c r="H50" s="12">
        <x:v>11119.08</x:v>
      </x:c>
      <x:c r="I50" s="14">
        <x:v>61.158014950000002</x:v>
      </x:c>
      <x:c r="J50" s="1">
        <x:v>119</x:v>
      </x:c>
      <x:c r="K50" s="12"/>
    </x:row>
    <x:row r="51">
      <x:c r="A51" s="18">
        <x:v>46082</x:v>
      </x:c>
      <x:c r="B51" s="1" t="s">
        <x:v>29</x:v>
      </x:c>
      <x:c r="C51" s="1" t="s">
        <x:v>30</x:v>
      </x:c>
      <x:c r="D51" s="1" t="s">
        <x:v>12</x:v>
      </x:c>
      <x:c r="E51" s="1">
        <x:v>16697</x:v>
      </x:c>
      <x:c r="F51" s="1">
        <x:v>6153</x:v>
      </x:c>
      <x:c r="G51" s="16">
        <x:v>2.71</x:v>
      </x:c>
      <x:c r="H51" s="12">
        <x:v>39502.26</x:v>
      </x:c>
      <x:c r="I51" s="14">
        <x:v>62.156389480000001</x:v>
      </x:c>
      <x:c r="J51" s="1">
        <x:v>122</x:v>
      </x:c>
      <x:c r="K51" s="12"/>
    </x:row>
    <x:row r="52">
      <x:c r="A52" s="18">
        <x:v>46113</x:v>
      </x:c>
      <x:c r="B52" s="1" t="s">
        <x:v>29</x:v>
      </x:c>
      <x:c r="C52" s="1" t="s">
        <x:v>30</x:v>
      </x:c>
      <x:c r="D52" s="1" t="s">
        <x:v>12</x:v>
      </x:c>
      <x:c r="E52" s="1">
        <x:v>15757</x:v>
      </x:c>
      <x:c r="F52" s="1">
        <x:v>5964</x:v>
      </x:c>
      <x:c r="G52" s="16">
        <x:v>2.64</x:v>
      </x:c>
      <x:c r="H52" s="12">
        <x:v>41270.880000000012</x:v>
      </x:c>
      <x:c r="I52" s="14">
        <x:v>60.18521707</x:v>
      </x:c>
      <x:c r="J52" s="1">
        <x:v>126</x:v>
      </x:c>
      <x:c r="K52" s="12"/>
    </x:row>
    <x:row r="53">
      <x:c r="A53" s="18">
        <x:v>46143</x:v>
      </x:c>
      <x:c r="B53" s="1" t="s">
        <x:v>29</x:v>
      </x:c>
      <x:c r="C53" s="1" t="s">
        <x:v>30</x:v>
      </x:c>
      <x:c r="D53" s="1" t="s">
        <x:v>12</x:v>
      </x:c>
      <x:c r="E53" s="1">
        <x:v>14394</x:v>
      </x:c>
      <x:c r="F53" s="1">
        <x:v>5501</x:v>
      </x:c>
      <x:c r="G53" s="16">
        <x:v>2.62</x:v>
      </x:c>
      <x:c r="H53" s="12">
        <x:v>39882.25</x:v>
      </x:c>
      <x:c r="I53" s="14">
        <x:v>59.054808010000002</x:v>
      </x:c>
      <x:c r="J53" s="1">
        <x:v>119</x:v>
      </x:c>
      <x:c r="K53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28515625" customWidth="1"/>
    <x:col min="2" max="2" width="9.28515625" customWidth="1"/>
    <x:col min="3" max="3" width="21.5703125" customWidth="1"/>
    <x:col min="4" max="4" width="21.5703125" customWidth="1"/>
    <x:col min="5" max="5" width="14" customWidth="1"/>
    <x:col min="6" max="6" width="6.85546875" customWidth="1"/>
    <x:col min="7" max="7" width="9" customWidth="1"/>
    <x:col min="8" max="8" width="12.28515625" customWidth="1"/>
  </x:cols>
  <x:sheetData>
    <x:row r="1" ht="45" customHeight="1">
      <x:c r="A1" s="2" t="s">
        <x:v>31</x:v>
      </x:c>
      <x:c r="B1" s="3" t="s">
        <x:v>32</x:v>
      </x:c>
      <x:c r="C1" s="3" t="s">
        <x:v>33</x:v>
      </x:c>
      <x:c r="D1" s="3" t="s">
        <x:v>34</x:v>
      </x:c>
      <x:c r="E1" s="3" t="s">
        <x:v>35</x:v>
      </x:c>
      <x:c r="F1" s="3" t="s">
        <x:v>36</x:v>
      </x:c>
      <x:c r="G1" s="3" t="s">
        <x:v>37</x:v>
      </x:c>
      <x:c r="H1" s="4" t="s">
        <x:v>38</x:v>
      </x:c>
      <x:c r="I1" s="20" t="s">
        <x:v>39</x:v>
      </x:c>
    </x:row>
    <x:row r="2" ht="15.75">
      <x:c r="A2" s="19" t="s">
        <x:v>40</x:v>
      </x:c>
      <x:c r="B2" s="1" t="s">
        <x:v>11</x:v>
      </x:c>
      <x:c r="C2" s="1" t="s">
        <x:v>12</x:v>
      </x:c>
      <x:c r="D2" s="1">
        <x:v>90</x:v>
      </x:c>
      <x:c r="E2" s="1">
        <x:v>100</x:v>
      </x:c>
      <x:c r="F2" s="1" t="s">
        <x:v>41</x:v>
      </x:c>
      <x:c r="G2" s="1" t="s">
        <x:v>42</x:v>
      </x:c>
      <x:c r="H2" s="6" t="s">
        <x:v>43</x:v>
      </x:c>
      <x:c r="I2" t="s">
        <x:v>44</x:v>
      </x:c>
    </x:row>
    <x:row r="3" ht="15.75">
      <x:c r="A3" s="19" t="s">
        <x:v>45</x:v>
      </x:c>
      <x:c r="B3" s="1" t="s">
        <x:v>16</x:v>
      </x:c>
      <x:c r="C3" s="1" t="s">
        <x:v>12</x:v>
      </x:c>
      <x:c r="D3" s="1">
        <x:v>90</x:v>
      </x:c>
      <x:c r="E3" s="1">
        <x:v>100</x:v>
      </x:c>
      <x:c r="F3" s="1" t="s">
        <x:v>41</x:v>
      </x:c>
      <x:c r="G3" s="1" t="s">
        <x:v>42</x:v>
      </x:c>
      <x:c r="H3" s="6" t="s">
        <x:v>43</x:v>
      </x:c>
      <x:c r="I3" t="s">
        <x:v>46</x:v>
      </x:c>
    </x:row>
    <x:row r="4">
      <x:c r="A4" s="5" t="s">
        <x:v>47</x:v>
      </x:c>
      <x:c r="B4" s="1" t="s">
        <x:v>30</x:v>
      </x:c>
      <x:c r="C4" s="1" t="s">
        <x:v>12</x:v>
      </x:c>
      <x:c r="D4" s="1">
        <x:v>90</x:v>
      </x:c>
      <x:c r="E4" s="1">
        <x:v>100</x:v>
      </x:c>
      <x:c r="F4" s="1" t="s">
        <x:v>41</x:v>
      </x:c>
      <x:c r="G4" s="1" t="s">
        <x:v>42</x:v>
      </x:c>
      <x:c r="H4" s="6" t="s">
        <x:v>43</x:v>
      </x:c>
      <x:c r="I4" t="s">
        <x:v>48</x:v>
      </x:c>
    </x:row>
    <x:row r="5">
      <x:c r="A5" s="5" t="s">
        <x:v>49</x:v>
      </x:c>
      <x:c r="B5" s="1" t="s">
        <x:v>16</x:v>
      </x:c>
      <x:c r="C5" s="1" t="s">
        <x:v>12</x:v>
      </x:c>
      <x:c r="D5" s="1">
        <x:v>90</x:v>
      </x:c>
      <x:c r="E5" s="1">
        <x:v>100</x:v>
      </x:c>
      <x:c r="F5" s="1" t="s">
        <x:v>50</x:v>
      </x:c>
      <x:c r="G5" s="1" t="s">
        <x:v>51</x:v>
      </x:c>
      <x:c r="H5" s="6" t="s">
        <x:v>52</x:v>
      </x:c>
      <x:c r="I5" t="s">
        <x:v>53</x:v>
      </x:c>
    </x:row>
    <x:row r="6">
      <x:c r="A6" s="5" t="s">
        <x:v>54</x:v>
      </x:c>
      <x:c r="B6" s="1" t="s">
        <x:v>16</x:v>
      </x:c>
      <x:c r="C6" s="1" t="s">
        <x:v>19</x:v>
      </x:c>
      <x:c r="D6" s="1">
        <x:v>90</x:v>
      </x:c>
      <x:c r="E6" s="1">
        <x:v>100</x:v>
      </x:c>
      <x:c r="F6" s="1" t="s">
        <x:v>50</x:v>
      </x:c>
      <x:c r="G6" s="1" t="s">
        <x:v>51</x:v>
      </x:c>
      <x:c r="H6" s="6" t="s">
        <x:v>52</x:v>
      </x:c>
      <x:c r="I6" t="s">
        <x:v>55</x:v>
      </x:c>
    </x:row>
    <x:row r="7">
      <x:c r="A7" s="5" t="s">
        <x:v>56</x:v>
      </x:c>
      <x:c r="B7" s="1" t="s">
        <x:v>16</x:v>
      </x:c>
      <x:c r="C7" s="1" t="s">
        <x:v>12</x:v>
      </x:c>
      <x:c r="D7" s="1">
        <x:v>90</x:v>
      </x:c>
      <x:c r="E7" s="1">
        <x:v>100</x:v>
      </x:c>
      <x:c r="F7" s="1" t="s">
        <x:v>50</x:v>
      </x:c>
      <x:c r="G7" s="1" t="s">
        <x:v>51</x:v>
      </x:c>
      <x:c r="H7" s="6" t="s">
        <x:v>52</x:v>
      </x:c>
      <x:c r="I7" t="s">
        <x:v>57</x:v>
      </x:c>
    </x:row>
    <x:row r="8">
      <x:c r="A8" s="5" t="s">
        <x:v>58</x:v>
      </x:c>
      <x:c r="B8" s="1" t="s">
        <x:v>11</x:v>
      </x:c>
      <x:c r="C8" s="1" t="s">
        <x:v>14</x:v>
      </x:c>
      <x:c r="D8" s="1">
        <x:v>90</x:v>
      </x:c>
      <x:c r="E8" s="1">
        <x:v>100</x:v>
      </x:c>
      <x:c r="F8" s="1" t="s">
        <x:v>50</x:v>
      </x:c>
      <x:c r="G8" s="1" t="s">
        <x:v>42</x:v>
      </x:c>
      <x:c r="H8" s="6" t="s">
        <x:v>43</x:v>
      </x:c>
      <x:c r="I8" t="s">
        <x:v>59</x:v>
      </x:c>
    </x:row>
    <x:row r="9">
      <x:c r="A9" s="5" t="s">
        <x:v>60</x:v>
      </x:c>
      <x:c r="B9" s="1" t="s">
        <x:v>11</x:v>
      </x:c>
      <x:c r="C9" s="1" t="s">
        <x:v>26</x:v>
      </x:c>
      <x:c r="D9" s="1">
        <x:v>90</x:v>
      </x:c>
      <x:c r="E9" s="1">
        <x:v>100</x:v>
      </x:c>
      <x:c r="F9" s="1" t="s">
        <x:v>51</x:v>
      </x:c>
      <x:c r="G9" s="1" t="s">
        <x:v>52</x:v>
      </x:c>
      <x:c r="H9" s="6" t="s">
        <x:v>61</x:v>
      </x:c>
      <x:c r="I9" t="s">
        <x:v>62</x:v>
      </x:c>
    </x:row>
    <x:row r="10">
      <x:c r="A10" s="5" t="s">
        <x:v>23</x:v>
      </x:c>
      <x:c r="B10" s="1" t="s">
        <x:v>11</x:v>
      </x:c>
      <x:c r="C10" s="1" t="s">
        <x:v>22</x:v>
      </x:c>
      <x:c r="D10" s="1">
        <x:v>90</x:v>
      </x:c>
      <x:c r="E10" s="1">
        <x:v>100</x:v>
      </x:c>
      <x:c r="F10" s="1" t="s">
        <x:v>61</x:v>
      </x:c>
      <x:c r="G10" s="1" t="s">
        <x:v>63</x:v>
      </x:c>
      <x:c r="H10" s="6" t="s">
        <x:v>64</x:v>
      </x:c>
      <x:c r="I10" t="s">
        <x:v>65</x:v>
      </x:c>
    </x:row>
    <x:row r="11">
      <x:c r="A11" s="5" t="s">
        <x:v>24</x:v>
      </x:c>
      <x:c r="B11" s="1" t="s">
        <x:v>11</x:v>
      </x:c>
      <x:c r="C11" s="1" t="s">
        <x:v>22</x:v>
      </x:c>
      <x:c r="D11" s="1">
        <x:v>90</x:v>
      </x:c>
      <x:c r="E11" s="1">
        <x:v>100</x:v>
      </x:c>
      <x:c r="F11" s="1" t="s">
        <x:v>61</x:v>
      </x:c>
      <x:c r="G11" s="1" t="s">
        <x:v>63</x:v>
      </x:c>
      <x:c r="H11" s="6" t="s">
        <x:v>64</x:v>
      </x:c>
      <x:c r="I11" t="s">
        <x:v>66</x:v>
      </x:c>
    </x:row>
    <x:row r="12">
      <x:c r="A12" s="7" t="s">
        <x:v>67</x:v>
      </x:c>
      <x:c r="B12" s="8" t="s">
        <x:v>21</x:v>
      </x:c>
      <x:c r="C12" s="8" t="s">
        <x:v>22</x:v>
      </x:c>
      <x:c r="D12" s="1">
        <x:v>90</x:v>
      </x:c>
      <x:c r="E12" s="8">
        <x:v>100</x:v>
      </x:c>
      <x:c r="F12" s="8" t="s">
        <x:v>61</x:v>
      </x:c>
      <x:c r="G12" s="8" t="s">
        <x:v>63</x:v>
      </x:c>
      <x:c r="H12" s="9" t="s">
        <x:v>64</x:v>
      </x:c>
      <x:c r="I12" t="s">
        <x:v>68</x:v>
      </x:c>
    </x:row>
    <x:row r="13">
      <x:c r="F13" s="1"/>
      <x:c r="G1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140625" defaultRowHeight="15"/>
  <x:cols>
    <x:col min="1" max="1" width="54" style="1" customWidth="1"/>
    <x:col min="2" max="2" width="14.140625" style="21" customWidth="1"/>
    <x:col min="3" max="3" width="14.140625" style="1" customWidth="1"/>
    <x:col min="4" max="4" width="22" style="1" customWidth="1"/>
    <x:col min="5" max="5" width="39" style="1" customWidth="1"/>
    <x:col min="6" max="6" width="27.5703125" style="22" customWidth="1"/>
    <x:col min="7" max="7" width="16.42578125" style="22" customWidth="1"/>
    <x:col min="8" max="8" width="15.42578125" style="22" customWidth="1"/>
    <x:col min="9" max="9" width="20.7109375" style="1" customWidth="1"/>
    <x:col min="10" max="10" width="19.28515625" style="1" customWidth="1"/>
    <x:col min="11" max="11" width="11.140625" style="1" customWidth="1"/>
    <x:col min="12" max="12" width="10.140625" style="1" customWidth="1"/>
    <x:col min="13" max="13" width="12" style="1" customWidth="1"/>
    <x:col min="14" max="256" width="9.140625" style="1" customWidth="0"/>
    <x:col min="257" max="257" width="45.7109375" style="1" customWidth="1"/>
    <x:col min="258" max="258" width="11.7109375" style="1" customWidth="1"/>
    <x:col min="259" max="259" width="4.28515625" style="1" customWidth="1"/>
    <x:col min="260" max="260" width="5.7109375" style="1" customWidth="1"/>
    <x:col min="261" max="261" width="11.28515625" style="1" customWidth="1"/>
    <x:col min="262" max="262" width="28.140625" style="1" customWidth="1"/>
    <x:col min="263" max="263" width="15.140625" style="1" customWidth="1"/>
    <x:col min="264" max="264" width="13.140625" style="1" customWidth="1"/>
    <x:col min="265" max="512" width="9.140625" style="1" customWidth="0"/>
    <x:col min="513" max="513" width="45.7109375" style="1" customWidth="1"/>
    <x:col min="514" max="514" width="11.7109375" style="1" customWidth="1"/>
    <x:col min="515" max="515" width="4.28515625" style="1" customWidth="1"/>
    <x:col min="516" max="516" width="5.7109375" style="1" customWidth="1"/>
    <x:col min="517" max="517" width="11.28515625" style="1" customWidth="1"/>
    <x:col min="518" max="518" width="28.140625" style="1" customWidth="1"/>
    <x:col min="519" max="519" width="15.140625" style="1" customWidth="1"/>
    <x:col min="520" max="520" width="13.140625" style="1" customWidth="1"/>
    <x:col min="521" max="768" width="9.140625" style="1" customWidth="0"/>
    <x:col min="769" max="769" width="45.7109375" style="1" customWidth="1"/>
    <x:col min="770" max="770" width="11.7109375" style="1" customWidth="1"/>
    <x:col min="771" max="771" width="4.28515625" style="1" customWidth="1"/>
    <x:col min="772" max="772" width="5.7109375" style="1" customWidth="1"/>
    <x:col min="773" max="773" width="11.28515625" style="1" customWidth="1"/>
    <x:col min="774" max="774" width="28.140625" style="1" customWidth="1"/>
    <x:col min="775" max="775" width="15.140625" style="1" customWidth="1"/>
    <x:col min="776" max="776" width="13.140625" style="1" customWidth="1"/>
    <x:col min="777" max="1024" width="9.140625" style="1" customWidth="0"/>
    <x:col min="1025" max="1025" width="45.7109375" style="1" customWidth="1"/>
    <x:col min="1026" max="1026" width="11.7109375" style="1" customWidth="1"/>
    <x:col min="1027" max="1027" width="4.28515625" style="1" customWidth="1"/>
    <x:col min="1028" max="1028" width="5.7109375" style="1" customWidth="1"/>
    <x:col min="1029" max="1029" width="11.28515625" style="1" customWidth="1"/>
    <x:col min="1030" max="1030" width="28.140625" style="1" customWidth="1"/>
    <x:col min="1031" max="1031" width="15.140625" style="1" customWidth="1"/>
    <x:col min="1032" max="1032" width="13.140625" style="1" customWidth="1"/>
    <x:col min="1033" max="1280" width="9.140625" style="1" customWidth="0"/>
    <x:col min="1281" max="1281" width="45.7109375" style="1" customWidth="1"/>
    <x:col min="1282" max="1282" width="11.7109375" style="1" customWidth="1"/>
    <x:col min="1283" max="1283" width="4.28515625" style="1" customWidth="1"/>
    <x:col min="1284" max="1284" width="5.7109375" style="1" customWidth="1"/>
    <x:col min="1285" max="1285" width="11.28515625" style="1" customWidth="1"/>
    <x:col min="1286" max="1286" width="28.140625" style="1" customWidth="1"/>
    <x:col min="1287" max="1287" width="15.140625" style="1" customWidth="1"/>
    <x:col min="1288" max="1288" width="13.140625" style="1" customWidth="1"/>
    <x:col min="1289" max="1536" width="9.140625" style="1" customWidth="0"/>
    <x:col min="1537" max="1537" width="45.7109375" style="1" customWidth="1"/>
    <x:col min="1538" max="1538" width="11.7109375" style="1" customWidth="1"/>
    <x:col min="1539" max="1539" width="4.28515625" style="1" customWidth="1"/>
    <x:col min="1540" max="1540" width="5.7109375" style="1" customWidth="1"/>
    <x:col min="1541" max="1541" width="11.28515625" style="1" customWidth="1"/>
    <x:col min="1542" max="1542" width="28.140625" style="1" customWidth="1"/>
    <x:col min="1543" max="1543" width="15.140625" style="1" customWidth="1"/>
    <x:col min="1544" max="1544" width="13.140625" style="1" customWidth="1"/>
    <x:col min="1545" max="1792" width="9.140625" style="1" customWidth="0"/>
    <x:col min="1793" max="1793" width="45.7109375" style="1" customWidth="1"/>
    <x:col min="1794" max="1794" width="11.7109375" style="1" customWidth="1"/>
    <x:col min="1795" max="1795" width="4.28515625" style="1" customWidth="1"/>
    <x:col min="1796" max="1796" width="5.7109375" style="1" customWidth="1"/>
    <x:col min="1797" max="1797" width="11.28515625" style="1" customWidth="1"/>
    <x:col min="1798" max="1798" width="28.140625" style="1" customWidth="1"/>
    <x:col min="1799" max="1799" width="15.140625" style="1" customWidth="1"/>
    <x:col min="1800" max="1800" width="13.140625" style="1" customWidth="1"/>
    <x:col min="1801" max="2048" width="9.140625" style="1" customWidth="0"/>
    <x:col min="2049" max="2049" width="45.7109375" style="1" customWidth="1"/>
    <x:col min="2050" max="2050" width="11.7109375" style="1" customWidth="1"/>
    <x:col min="2051" max="2051" width="4.28515625" style="1" customWidth="1"/>
    <x:col min="2052" max="2052" width="5.7109375" style="1" customWidth="1"/>
    <x:col min="2053" max="2053" width="11.28515625" style="1" customWidth="1"/>
    <x:col min="2054" max="2054" width="28.140625" style="1" customWidth="1"/>
    <x:col min="2055" max="2055" width="15.140625" style="1" customWidth="1"/>
    <x:col min="2056" max="2056" width="13.140625" style="1" customWidth="1"/>
    <x:col min="2057" max="2304" width="9.140625" style="1" customWidth="0"/>
    <x:col min="2305" max="2305" width="45.7109375" style="1" customWidth="1"/>
    <x:col min="2306" max="2306" width="11.7109375" style="1" customWidth="1"/>
    <x:col min="2307" max="2307" width="4.28515625" style="1" customWidth="1"/>
    <x:col min="2308" max="2308" width="5.7109375" style="1" customWidth="1"/>
    <x:col min="2309" max="2309" width="11.28515625" style="1" customWidth="1"/>
    <x:col min="2310" max="2310" width="28.140625" style="1" customWidth="1"/>
    <x:col min="2311" max="2311" width="15.140625" style="1" customWidth="1"/>
    <x:col min="2312" max="2312" width="13.140625" style="1" customWidth="1"/>
    <x:col min="2313" max="2560" width="9.140625" style="1" customWidth="0"/>
    <x:col min="2561" max="2561" width="45.7109375" style="1" customWidth="1"/>
    <x:col min="2562" max="2562" width="11.7109375" style="1" customWidth="1"/>
    <x:col min="2563" max="2563" width="4.28515625" style="1" customWidth="1"/>
    <x:col min="2564" max="2564" width="5.7109375" style="1" customWidth="1"/>
    <x:col min="2565" max="2565" width="11.28515625" style="1" customWidth="1"/>
    <x:col min="2566" max="2566" width="28.140625" style="1" customWidth="1"/>
    <x:col min="2567" max="2567" width="15.140625" style="1" customWidth="1"/>
    <x:col min="2568" max="2568" width="13.140625" style="1" customWidth="1"/>
    <x:col min="2569" max="2816" width="9.140625" style="1" customWidth="0"/>
    <x:col min="2817" max="2817" width="45.7109375" style="1" customWidth="1"/>
    <x:col min="2818" max="2818" width="11.7109375" style="1" customWidth="1"/>
    <x:col min="2819" max="2819" width="4.28515625" style="1" customWidth="1"/>
    <x:col min="2820" max="2820" width="5.7109375" style="1" customWidth="1"/>
    <x:col min="2821" max="2821" width="11.28515625" style="1" customWidth="1"/>
    <x:col min="2822" max="2822" width="28.140625" style="1" customWidth="1"/>
    <x:col min="2823" max="2823" width="15.140625" style="1" customWidth="1"/>
    <x:col min="2824" max="2824" width="13.140625" style="1" customWidth="1"/>
    <x:col min="2825" max="3072" width="9.140625" style="1" customWidth="0"/>
    <x:col min="3073" max="3073" width="45.7109375" style="1" customWidth="1"/>
    <x:col min="3074" max="3074" width="11.7109375" style="1" customWidth="1"/>
    <x:col min="3075" max="3075" width="4.28515625" style="1" customWidth="1"/>
    <x:col min="3076" max="3076" width="5.7109375" style="1" customWidth="1"/>
    <x:col min="3077" max="3077" width="11.28515625" style="1" customWidth="1"/>
    <x:col min="3078" max="3078" width="28.140625" style="1" customWidth="1"/>
    <x:col min="3079" max="3079" width="15.140625" style="1" customWidth="1"/>
    <x:col min="3080" max="3080" width="13.140625" style="1" customWidth="1"/>
    <x:col min="3081" max="3328" width="9.140625" style="1" customWidth="0"/>
    <x:col min="3329" max="3329" width="45.7109375" style="1" customWidth="1"/>
    <x:col min="3330" max="3330" width="11.7109375" style="1" customWidth="1"/>
    <x:col min="3331" max="3331" width="4.28515625" style="1" customWidth="1"/>
    <x:col min="3332" max="3332" width="5.7109375" style="1" customWidth="1"/>
    <x:col min="3333" max="3333" width="11.28515625" style="1" customWidth="1"/>
    <x:col min="3334" max="3334" width="28.140625" style="1" customWidth="1"/>
    <x:col min="3335" max="3335" width="15.140625" style="1" customWidth="1"/>
    <x:col min="3336" max="3336" width="13.140625" style="1" customWidth="1"/>
    <x:col min="3337" max="3584" width="9.140625" style="1" customWidth="0"/>
    <x:col min="3585" max="3585" width="45.7109375" style="1" customWidth="1"/>
    <x:col min="3586" max="3586" width="11.7109375" style="1" customWidth="1"/>
    <x:col min="3587" max="3587" width="4.28515625" style="1" customWidth="1"/>
    <x:col min="3588" max="3588" width="5.7109375" style="1" customWidth="1"/>
    <x:col min="3589" max="3589" width="11.28515625" style="1" customWidth="1"/>
    <x:col min="3590" max="3590" width="28.140625" style="1" customWidth="1"/>
    <x:col min="3591" max="3591" width="15.140625" style="1" customWidth="1"/>
    <x:col min="3592" max="3592" width="13.140625" style="1" customWidth="1"/>
    <x:col min="3593" max="3840" width="9.140625" style="1" customWidth="0"/>
    <x:col min="3841" max="3841" width="45.7109375" style="1" customWidth="1"/>
    <x:col min="3842" max="3842" width="11.7109375" style="1" customWidth="1"/>
    <x:col min="3843" max="3843" width="4.28515625" style="1" customWidth="1"/>
    <x:col min="3844" max="3844" width="5.7109375" style="1" customWidth="1"/>
    <x:col min="3845" max="3845" width="11.28515625" style="1" customWidth="1"/>
    <x:col min="3846" max="3846" width="28.140625" style="1" customWidth="1"/>
    <x:col min="3847" max="3847" width="15.140625" style="1" customWidth="1"/>
    <x:col min="3848" max="3848" width="13.140625" style="1" customWidth="1"/>
    <x:col min="3849" max="4096" width="9.140625" style="1" customWidth="0"/>
    <x:col min="4097" max="4097" width="45.7109375" style="1" customWidth="1"/>
    <x:col min="4098" max="4098" width="11.7109375" style="1" customWidth="1"/>
    <x:col min="4099" max="4099" width="4.28515625" style="1" customWidth="1"/>
    <x:col min="4100" max="4100" width="5.7109375" style="1" customWidth="1"/>
    <x:col min="4101" max="4101" width="11.28515625" style="1" customWidth="1"/>
    <x:col min="4102" max="4102" width="28.140625" style="1" customWidth="1"/>
    <x:col min="4103" max="4103" width="15.140625" style="1" customWidth="1"/>
    <x:col min="4104" max="4104" width="13.140625" style="1" customWidth="1"/>
    <x:col min="4105" max="4352" width="9.140625" style="1" customWidth="0"/>
    <x:col min="4353" max="4353" width="45.7109375" style="1" customWidth="1"/>
    <x:col min="4354" max="4354" width="11.7109375" style="1" customWidth="1"/>
    <x:col min="4355" max="4355" width="4.28515625" style="1" customWidth="1"/>
    <x:col min="4356" max="4356" width="5.7109375" style="1" customWidth="1"/>
    <x:col min="4357" max="4357" width="11.28515625" style="1" customWidth="1"/>
    <x:col min="4358" max="4358" width="28.140625" style="1" customWidth="1"/>
    <x:col min="4359" max="4359" width="15.140625" style="1" customWidth="1"/>
    <x:col min="4360" max="4360" width="13.140625" style="1" customWidth="1"/>
    <x:col min="4361" max="4608" width="9.140625" style="1" customWidth="0"/>
    <x:col min="4609" max="4609" width="45.7109375" style="1" customWidth="1"/>
    <x:col min="4610" max="4610" width="11.7109375" style="1" customWidth="1"/>
    <x:col min="4611" max="4611" width="4.28515625" style="1" customWidth="1"/>
    <x:col min="4612" max="4612" width="5.7109375" style="1" customWidth="1"/>
    <x:col min="4613" max="4613" width="11.28515625" style="1" customWidth="1"/>
    <x:col min="4614" max="4614" width="28.140625" style="1" customWidth="1"/>
    <x:col min="4615" max="4615" width="15.140625" style="1" customWidth="1"/>
    <x:col min="4616" max="4616" width="13.140625" style="1" customWidth="1"/>
    <x:col min="4617" max="4864" width="9.140625" style="1" customWidth="0"/>
    <x:col min="4865" max="4865" width="45.7109375" style="1" customWidth="1"/>
    <x:col min="4866" max="4866" width="11.7109375" style="1" customWidth="1"/>
    <x:col min="4867" max="4867" width="4.28515625" style="1" customWidth="1"/>
    <x:col min="4868" max="4868" width="5.7109375" style="1" customWidth="1"/>
    <x:col min="4869" max="4869" width="11.28515625" style="1" customWidth="1"/>
    <x:col min="4870" max="4870" width="28.140625" style="1" customWidth="1"/>
    <x:col min="4871" max="4871" width="15.140625" style="1" customWidth="1"/>
    <x:col min="4872" max="4872" width="13.140625" style="1" customWidth="1"/>
    <x:col min="4873" max="5120" width="9.140625" style="1" customWidth="0"/>
    <x:col min="5121" max="5121" width="45.7109375" style="1" customWidth="1"/>
    <x:col min="5122" max="5122" width="11.7109375" style="1" customWidth="1"/>
    <x:col min="5123" max="5123" width="4.28515625" style="1" customWidth="1"/>
    <x:col min="5124" max="5124" width="5.7109375" style="1" customWidth="1"/>
    <x:col min="5125" max="5125" width="11.28515625" style="1" customWidth="1"/>
    <x:col min="5126" max="5126" width="28.140625" style="1" customWidth="1"/>
    <x:col min="5127" max="5127" width="15.140625" style="1" customWidth="1"/>
    <x:col min="5128" max="5128" width="13.140625" style="1" customWidth="1"/>
    <x:col min="5129" max="5376" width="9.140625" style="1" customWidth="0"/>
    <x:col min="5377" max="5377" width="45.7109375" style="1" customWidth="1"/>
    <x:col min="5378" max="5378" width="11.7109375" style="1" customWidth="1"/>
    <x:col min="5379" max="5379" width="4.28515625" style="1" customWidth="1"/>
    <x:col min="5380" max="5380" width="5.7109375" style="1" customWidth="1"/>
    <x:col min="5381" max="5381" width="11.28515625" style="1" customWidth="1"/>
    <x:col min="5382" max="5382" width="28.140625" style="1" customWidth="1"/>
    <x:col min="5383" max="5383" width="15.140625" style="1" customWidth="1"/>
    <x:col min="5384" max="5384" width="13.140625" style="1" customWidth="1"/>
    <x:col min="5385" max="5632" width="9.140625" style="1" customWidth="0"/>
    <x:col min="5633" max="5633" width="45.7109375" style="1" customWidth="1"/>
    <x:col min="5634" max="5634" width="11.7109375" style="1" customWidth="1"/>
    <x:col min="5635" max="5635" width="4.28515625" style="1" customWidth="1"/>
    <x:col min="5636" max="5636" width="5.7109375" style="1" customWidth="1"/>
    <x:col min="5637" max="5637" width="11.28515625" style="1" customWidth="1"/>
    <x:col min="5638" max="5638" width="28.140625" style="1" customWidth="1"/>
    <x:col min="5639" max="5639" width="15.140625" style="1" customWidth="1"/>
    <x:col min="5640" max="5640" width="13.140625" style="1" customWidth="1"/>
    <x:col min="5641" max="5888" width="9.140625" style="1" customWidth="0"/>
    <x:col min="5889" max="5889" width="45.7109375" style="1" customWidth="1"/>
    <x:col min="5890" max="5890" width="11.7109375" style="1" customWidth="1"/>
    <x:col min="5891" max="5891" width="4.28515625" style="1" customWidth="1"/>
    <x:col min="5892" max="5892" width="5.7109375" style="1" customWidth="1"/>
    <x:col min="5893" max="5893" width="11.28515625" style="1" customWidth="1"/>
    <x:col min="5894" max="5894" width="28.140625" style="1" customWidth="1"/>
    <x:col min="5895" max="5895" width="15.140625" style="1" customWidth="1"/>
    <x:col min="5896" max="5896" width="13.140625" style="1" customWidth="1"/>
    <x:col min="5897" max="6144" width="9.140625" style="1" customWidth="0"/>
    <x:col min="6145" max="6145" width="45.7109375" style="1" customWidth="1"/>
    <x:col min="6146" max="6146" width="11.7109375" style="1" customWidth="1"/>
    <x:col min="6147" max="6147" width="4.28515625" style="1" customWidth="1"/>
    <x:col min="6148" max="6148" width="5.7109375" style="1" customWidth="1"/>
    <x:col min="6149" max="6149" width="11.28515625" style="1" customWidth="1"/>
    <x:col min="6150" max="6150" width="28.140625" style="1" customWidth="1"/>
    <x:col min="6151" max="6151" width="15.140625" style="1" customWidth="1"/>
    <x:col min="6152" max="6152" width="13.140625" style="1" customWidth="1"/>
    <x:col min="6153" max="6400" width="9.140625" style="1" customWidth="0"/>
    <x:col min="6401" max="6401" width="45.7109375" style="1" customWidth="1"/>
    <x:col min="6402" max="6402" width="11.7109375" style="1" customWidth="1"/>
    <x:col min="6403" max="6403" width="4.28515625" style="1" customWidth="1"/>
    <x:col min="6404" max="6404" width="5.7109375" style="1" customWidth="1"/>
    <x:col min="6405" max="6405" width="11.28515625" style="1" customWidth="1"/>
    <x:col min="6406" max="6406" width="28.140625" style="1" customWidth="1"/>
    <x:col min="6407" max="6407" width="15.140625" style="1" customWidth="1"/>
    <x:col min="6408" max="6408" width="13.140625" style="1" customWidth="1"/>
    <x:col min="6409" max="6656" width="9.140625" style="1" customWidth="0"/>
    <x:col min="6657" max="6657" width="45.7109375" style="1" customWidth="1"/>
    <x:col min="6658" max="6658" width="11.7109375" style="1" customWidth="1"/>
    <x:col min="6659" max="6659" width="4.28515625" style="1" customWidth="1"/>
    <x:col min="6660" max="6660" width="5.7109375" style="1" customWidth="1"/>
    <x:col min="6661" max="6661" width="11.28515625" style="1" customWidth="1"/>
    <x:col min="6662" max="6662" width="28.140625" style="1" customWidth="1"/>
    <x:col min="6663" max="6663" width="15.140625" style="1" customWidth="1"/>
    <x:col min="6664" max="6664" width="13.140625" style="1" customWidth="1"/>
    <x:col min="6665" max="6912" width="9.140625" style="1" customWidth="0"/>
    <x:col min="6913" max="6913" width="45.7109375" style="1" customWidth="1"/>
    <x:col min="6914" max="6914" width="11.7109375" style="1" customWidth="1"/>
    <x:col min="6915" max="6915" width="4.28515625" style="1" customWidth="1"/>
    <x:col min="6916" max="6916" width="5.7109375" style="1" customWidth="1"/>
    <x:col min="6917" max="6917" width="11.28515625" style="1" customWidth="1"/>
    <x:col min="6918" max="6918" width="28.140625" style="1" customWidth="1"/>
    <x:col min="6919" max="6919" width="15.140625" style="1" customWidth="1"/>
    <x:col min="6920" max="6920" width="13.140625" style="1" customWidth="1"/>
    <x:col min="6921" max="7168" width="9.140625" style="1" customWidth="0"/>
    <x:col min="7169" max="7169" width="45.7109375" style="1" customWidth="1"/>
    <x:col min="7170" max="7170" width="11.7109375" style="1" customWidth="1"/>
    <x:col min="7171" max="7171" width="4.28515625" style="1" customWidth="1"/>
    <x:col min="7172" max="7172" width="5.7109375" style="1" customWidth="1"/>
    <x:col min="7173" max="7173" width="11.28515625" style="1" customWidth="1"/>
    <x:col min="7174" max="7174" width="28.140625" style="1" customWidth="1"/>
    <x:col min="7175" max="7175" width="15.140625" style="1" customWidth="1"/>
    <x:col min="7176" max="7176" width="13.140625" style="1" customWidth="1"/>
    <x:col min="7177" max="7424" width="9.140625" style="1" customWidth="0"/>
    <x:col min="7425" max="7425" width="45.7109375" style="1" customWidth="1"/>
    <x:col min="7426" max="7426" width="11.7109375" style="1" customWidth="1"/>
    <x:col min="7427" max="7427" width="4.28515625" style="1" customWidth="1"/>
    <x:col min="7428" max="7428" width="5.7109375" style="1" customWidth="1"/>
    <x:col min="7429" max="7429" width="11.28515625" style="1" customWidth="1"/>
    <x:col min="7430" max="7430" width="28.140625" style="1" customWidth="1"/>
    <x:col min="7431" max="7431" width="15.140625" style="1" customWidth="1"/>
    <x:col min="7432" max="7432" width="13.140625" style="1" customWidth="1"/>
    <x:col min="7433" max="7680" width="9.140625" style="1" customWidth="0"/>
    <x:col min="7681" max="7681" width="45.7109375" style="1" customWidth="1"/>
    <x:col min="7682" max="7682" width="11.7109375" style="1" customWidth="1"/>
    <x:col min="7683" max="7683" width="4.28515625" style="1" customWidth="1"/>
    <x:col min="7684" max="7684" width="5.7109375" style="1" customWidth="1"/>
    <x:col min="7685" max="7685" width="11.28515625" style="1" customWidth="1"/>
    <x:col min="7686" max="7686" width="28.140625" style="1" customWidth="1"/>
    <x:col min="7687" max="7687" width="15.140625" style="1" customWidth="1"/>
    <x:col min="7688" max="7688" width="13.140625" style="1" customWidth="1"/>
    <x:col min="7689" max="7936" width="9.140625" style="1" customWidth="0"/>
    <x:col min="7937" max="7937" width="45.7109375" style="1" customWidth="1"/>
    <x:col min="7938" max="7938" width="11.7109375" style="1" customWidth="1"/>
    <x:col min="7939" max="7939" width="4.28515625" style="1" customWidth="1"/>
    <x:col min="7940" max="7940" width="5.7109375" style="1" customWidth="1"/>
    <x:col min="7941" max="7941" width="11.28515625" style="1" customWidth="1"/>
    <x:col min="7942" max="7942" width="28.140625" style="1" customWidth="1"/>
    <x:col min="7943" max="7943" width="15.140625" style="1" customWidth="1"/>
    <x:col min="7944" max="7944" width="13.140625" style="1" customWidth="1"/>
    <x:col min="7945" max="8192" width="9.140625" style="1" customWidth="0"/>
    <x:col min="8193" max="8193" width="45.7109375" style="1" customWidth="1"/>
    <x:col min="8194" max="8194" width="11.7109375" style="1" customWidth="1"/>
    <x:col min="8195" max="8195" width="4.28515625" style="1" customWidth="1"/>
    <x:col min="8196" max="8196" width="5.7109375" style="1" customWidth="1"/>
    <x:col min="8197" max="8197" width="11.28515625" style="1" customWidth="1"/>
    <x:col min="8198" max="8198" width="28.140625" style="1" customWidth="1"/>
    <x:col min="8199" max="8199" width="15.140625" style="1" customWidth="1"/>
    <x:col min="8200" max="8200" width="13.140625" style="1" customWidth="1"/>
    <x:col min="8201" max="8448" width="9.140625" style="1" customWidth="0"/>
    <x:col min="8449" max="8449" width="45.7109375" style="1" customWidth="1"/>
    <x:col min="8450" max="8450" width="11.7109375" style="1" customWidth="1"/>
    <x:col min="8451" max="8451" width="4.28515625" style="1" customWidth="1"/>
    <x:col min="8452" max="8452" width="5.7109375" style="1" customWidth="1"/>
    <x:col min="8453" max="8453" width="11.28515625" style="1" customWidth="1"/>
    <x:col min="8454" max="8454" width="28.140625" style="1" customWidth="1"/>
    <x:col min="8455" max="8455" width="15.140625" style="1" customWidth="1"/>
    <x:col min="8456" max="8456" width="13.140625" style="1" customWidth="1"/>
    <x:col min="8457" max="8704" width="9.140625" style="1" customWidth="0"/>
    <x:col min="8705" max="8705" width="45.7109375" style="1" customWidth="1"/>
    <x:col min="8706" max="8706" width="11.7109375" style="1" customWidth="1"/>
    <x:col min="8707" max="8707" width="4.28515625" style="1" customWidth="1"/>
    <x:col min="8708" max="8708" width="5.7109375" style="1" customWidth="1"/>
    <x:col min="8709" max="8709" width="11.28515625" style="1" customWidth="1"/>
    <x:col min="8710" max="8710" width="28.140625" style="1" customWidth="1"/>
    <x:col min="8711" max="8711" width="15.140625" style="1" customWidth="1"/>
    <x:col min="8712" max="8712" width="13.140625" style="1" customWidth="1"/>
    <x:col min="8713" max="8960" width="9.140625" style="1" customWidth="0"/>
    <x:col min="8961" max="8961" width="45.7109375" style="1" customWidth="1"/>
    <x:col min="8962" max="8962" width="11.7109375" style="1" customWidth="1"/>
    <x:col min="8963" max="8963" width="4.28515625" style="1" customWidth="1"/>
    <x:col min="8964" max="8964" width="5.7109375" style="1" customWidth="1"/>
    <x:col min="8965" max="8965" width="11.28515625" style="1" customWidth="1"/>
    <x:col min="8966" max="8966" width="28.140625" style="1" customWidth="1"/>
    <x:col min="8967" max="8967" width="15.140625" style="1" customWidth="1"/>
    <x:col min="8968" max="8968" width="13.140625" style="1" customWidth="1"/>
    <x:col min="8969" max="9216" width="9.140625" style="1" customWidth="0"/>
    <x:col min="9217" max="9217" width="45.7109375" style="1" customWidth="1"/>
    <x:col min="9218" max="9218" width="11.7109375" style="1" customWidth="1"/>
    <x:col min="9219" max="9219" width="4.28515625" style="1" customWidth="1"/>
    <x:col min="9220" max="9220" width="5.7109375" style="1" customWidth="1"/>
    <x:col min="9221" max="9221" width="11.28515625" style="1" customWidth="1"/>
    <x:col min="9222" max="9222" width="28.140625" style="1" customWidth="1"/>
    <x:col min="9223" max="9223" width="15.140625" style="1" customWidth="1"/>
    <x:col min="9224" max="9224" width="13.140625" style="1" customWidth="1"/>
    <x:col min="9225" max="9472" width="9.140625" style="1" customWidth="0"/>
    <x:col min="9473" max="9473" width="45.7109375" style="1" customWidth="1"/>
    <x:col min="9474" max="9474" width="11.7109375" style="1" customWidth="1"/>
    <x:col min="9475" max="9475" width="4.28515625" style="1" customWidth="1"/>
    <x:col min="9476" max="9476" width="5.7109375" style="1" customWidth="1"/>
    <x:col min="9477" max="9477" width="11.28515625" style="1" customWidth="1"/>
    <x:col min="9478" max="9478" width="28.140625" style="1" customWidth="1"/>
    <x:col min="9479" max="9479" width="15.140625" style="1" customWidth="1"/>
    <x:col min="9480" max="9480" width="13.140625" style="1" customWidth="1"/>
    <x:col min="9481" max="9728" width="9.140625" style="1" customWidth="0"/>
    <x:col min="9729" max="9729" width="45.7109375" style="1" customWidth="1"/>
    <x:col min="9730" max="9730" width="11.7109375" style="1" customWidth="1"/>
    <x:col min="9731" max="9731" width="4.28515625" style="1" customWidth="1"/>
    <x:col min="9732" max="9732" width="5.7109375" style="1" customWidth="1"/>
    <x:col min="9733" max="9733" width="11.28515625" style="1" customWidth="1"/>
    <x:col min="9734" max="9734" width="28.140625" style="1" customWidth="1"/>
    <x:col min="9735" max="9735" width="15.140625" style="1" customWidth="1"/>
    <x:col min="9736" max="9736" width="13.140625" style="1" customWidth="1"/>
    <x:col min="9737" max="9984" width="9.140625" style="1" customWidth="0"/>
    <x:col min="9985" max="9985" width="45.7109375" style="1" customWidth="1"/>
    <x:col min="9986" max="9986" width="11.7109375" style="1" customWidth="1"/>
    <x:col min="9987" max="9987" width="4.28515625" style="1" customWidth="1"/>
    <x:col min="9988" max="9988" width="5.7109375" style="1" customWidth="1"/>
    <x:col min="9989" max="9989" width="11.28515625" style="1" customWidth="1"/>
    <x:col min="9990" max="9990" width="28.140625" style="1" customWidth="1"/>
    <x:col min="9991" max="9991" width="15.140625" style="1" customWidth="1"/>
    <x:col min="9992" max="9992" width="13.140625" style="1" customWidth="1"/>
    <x:col min="9993" max="10240" width="9.140625" style="1" customWidth="0"/>
    <x:col min="10241" max="10241" width="45.7109375" style="1" customWidth="1"/>
    <x:col min="10242" max="10242" width="11.7109375" style="1" customWidth="1"/>
    <x:col min="10243" max="10243" width="4.28515625" style="1" customWidth="1"/>
    <x:col min="10244" max="10244" width="5.7109375" style="1" customWidth="1"/>
    <x:col min="10245" max="10245" width="11.28515625" style="1" customWidth="1"/>
    <x:col min="10246" max="10246" width="28.140625" style="1" customWidth="1"/>
    <x:col min="10247" max="10247" width="15.140625" style="1" customWidth="1"/>
    <x:col min="10248" max="10248" width="13.140625" style="1" customWidth="1"/>
    <x:col min="10249" max="10496" width="9.140625" style="1" customWidth="0"/>
    <x:col min="10497" max="10497" width="45.7109375" style="1" customWidth="1"/>
    <x:col min="10498" max="10498" width="11.7109375" style="1" customWidth="1"/>
    <x:col min="10499" max="10499" width="4.28515625" style="1" customWidth="1"/>
    <x:col min="10500" max="10500" width="5.7109375" style="1" customWidth="1"/>
    <x:col min="10501" max="10501" width="11.28515625" style="1" customWidth="1"/>
    <x:col min="10502" max="10502" width="28.140625" style="1" customWidth="1"/>
    <x:col min="10503" max="10503" width="15.140625" style="1" customWidth="1"/>
    <x:col min="10504" max="10504" width="13.140625" style="1" customWidth="1"/>
    <x:col min="10505" max="10752" width="9.140625" style="1" customWidth="0"/>
    <x:col min="10753" max="10753" width="45.7109375" style="1" customWidth="1"/>
    <x:col min="10754" max="10754" width="11.7109375" style="1" customWidth="1"/>
    <x:col min="10755" max="10755" width="4.28515625" style="1" customWidth="1"/>
    <x:col min="10756" max="10756" width="5.7109375" style="1" customWidth="1"/>
    <x:col min="10757" max="10757" width="11.28515625" style="1" customWidth="1"/>
    <x:col min="10758" max="10758" width="28.140625" style="1" customWidth="1"/>
    <x:col min="10759" max="10759" width="15.140625" style="1" customWidth="1"/>
    <x:col min="10760" max="10760" width="13.140625" style="1" customWidth="1"/>
    <x:col min="10761" max="11008" width="9.140625" style="1" customWidth="0"/>
    <x:col min="11009" max="11009" width="45.7109375" style="1" customWidth="1"/>
    <x:col min="11010" max="11010" width="11.7109375" style="1" customWidth="1"/>
    <x:col min="11011" max="11011" width="4.28515625" style="1" customWidth="1"/>
    <x:col min="11012" max="11012" width="5.7109375" style="1" customWidth="1"/>
    <x:col min="11013" max="11013" width="11.28515625" style="1" customWidth="1"/>
    <x:col min="11014" max="11014" width="28.140625" style="1" customWidth="1"/>
    <x:col min="11015" max="11015" width="15.140625" style="1" customWidth="1"/>
    <x:col min="11016" max="11016" width="13.140625" style="1" customWidth="1"/>
    <x:col min="11017" max="11264" width="9.140625" style="1" customWidth="0"/>
    <x:col min="11265" max="11265" width="45.7109375" style="1" customWidth="1"/>
    <x:col min="11266" max="11266" width="11.7109375" style="1" customWidth="1"/>
    <x:col min="11267" max="11267" width="4.28515625" style="1" customWidth="1"/>
    <x:col min="11268" max="11268" width="5.7109375" style="1" customWidth="1"/>
    <x:col min="11269" max="11269" width="11.28515625" style="1" customWidth="1"/>
    <x:col min="11270" max="11270" width="28.140625" style="1" customWidth="1"/>
    <x:col min="11271" max="11271" width="15.140625" style="1" customWidth="1"/>
    <x:col min="11272" max="11272" width="13.140625" style="1" customWidth="1"/>
    <x:col min="11273" max="11520" width="9.140625" style="1" customWidth="0"/>
    <x:col min="11521" max="11521" width="45.7109375" style="1" customWidth="1"/>
    <x:col min="11522" max="11522" width="11.7109375" style="1" customWidth="1"/>
    <x:col min="11523" max="11523" width="4.28515625" style="1" customWidth="1"/>
    <x:col min="11524" max="11524" width="5.7109375" style="1" customWidth="1"/>
    <x:col min="11525" max="11525" width="11.28515625" style="1" customWidth="1"/>
    <x:col min="11526" max="11526" width="28.140625" style="1" customWidth="1"/>
    <x:col min="11527" max="11527" width="15.140625" style="1" customWidth="1"/>
    <x:col min="11528" max="11528" width="13.140625" style="1" customWidth="1"/>
    <x:col min="11529" max="11776" width="9.140625" style="1" customWidth="0"/>
    <x:col min="11777" max="11777" width="45.7109375" style="1" customWidth="1"/>
    <x:col min="11778" max="11778" width="11.7109375" style="1" customWidth="1"/>
    <x:col min="11779" max="11779" width="4.28515625" style="1" customWidth="1"/>
    <x:col min="11780" max="11780" width="5.7109375" style="1" customWidth="1"/>
    <x:col min="11781" max="11781" width="11.28515625" style="1" customWidth="1"/>
    <x:col min="11782" max="11782" width="28.140625" style="1" customWidth="1"/>
    <x:col min="11783" max="11783" width="15.140625" style="1" customWidth="1"/>
    <x:col min="11784" max="11784" width="13.140625" style="1" customWidth="1"/>
    <x:col min="11785" max="12032" width="9.140625" style="1" customWidth="0"/>
    <x:col min="12033" max="12033" width="45.7109375" style="1" customWidth="1"/>
    <x:col min="12034" max="12034" width="11.7109375" style="1" customWidth="1"/>
    <x:col min="12035" max="12035" width="4.28515625" style="1" customWidth="1"/>
    <x:col min="12036" max="12036" width="5.7109375" style="1" customWidth="1"/>
    <x:col min="12037" max="12037" width="11.28515625" style="1" customWidth="1"/>
    <x:col min="12038" max="12038" width="28.140625" style="1" customWidth="1"/>
    <x:col min="12039" max="12039" width="15.140625" style="1" customWidth="1"/>
    <x:col min="12040" max="12040" width="13.140625" style="1" customWidth="1"/>
    <x:col min="12041" max="12288" width="9.140625" style="1" customWidth="0"/>
    <x:col min="12289" max="12289" width="45.7109375" style="1" customWidth="1"/>
    <x:col min="12290" max="12290" width="11.7109375" style="1" customWidth="1"/>
    <x:col min="12291" max="12291" width="4.28515625" style="1" customWidth="1"/>
    <x:col min="12292" max="12292" width="5.7109375" style="1" customWidth="1"/>
    <x:col min="12293" max="12293" width="11.28515625" style="1" customWidth="1"/>
    <x:col min="12294" max="12294" width="28.140625" style="1" customWidth="1"/>
    <x:col min="12295" max="12295" width="15.140625" style="1" customWidth="1"/>
    <x:col min="12296" max="12296" width="13.140625" style="1" customWidth="1"/>
    <x:col min="12297" max="12544" width="9.140625" style="1" customWidth="0"/>
    <x:col min="12545" max="12545" width="45.7109375" style="1" customWidth="1"/>
    <x:col min="12546" max="12546" width="11.7109375" style="1" customWidth="1"/>
    <x:col min="12547" max="12547" width="4.28515625" style="1" customWidth="1"/>
    <x:col min="12548" max="12548" width="5.7109375" style="1" customWidth="1"/>
    <x:col min="12549" max="12549" width="11.28515625" style="1" customWidth="1"/>
    <x:col min="12550" max="12550" width="28.140625" style="1" customWidth="1"/>
    <x:col min="12551" max="12551" width="15.140625" style="1" customWidth="1"/>
    <x:col min="12552" max="12552" width="13.140625" style="1" customWidth="1"/>
    <x:col min="12553" max="12800" width="9.140625" style="1" customWidth="0"/>
    <x:col min="12801" max="12801" width="45.7109375" style="1" customWidth="1"/>
    <x:col min="12802" max="12802" width="11.7109375" style="1" customWidth="1"/>
    <x:col min="12803" max="12803" width="4.28515625" style="1" customWidth="1"/>
    <x:col min="12804" max="12804" width="5.7109375" style="1" customWidth="1"/>
    <x:col min="12805" max="12805" width="11.28515625" style="1" customWidth="1"/>
    <x:col min="12806" max="12806" width="28.140625" style="1" customWidth="1"/>
    <x:col min="12807" max="12807" width="15.140625" style="1" customWidth="1"/>
    <x:col min="12808" max="12808" width="13.140625" style="1" customWidth="1"/>
    <x:col min="12809" max="13056" width="9.140625" style="1" customWidth="0"/>
    <x:col min="13057" max="13057" width="45.7109375" style="1" customWidth="1"/>
    <x:col min="13058" max="13058" width="11.7109375" style="1" customWidth="1"/>
    <x:col min="13059" max="13059" width="4.28515625" style="1" customWidth="1"/>
    <x:col min="13060" max="13060" width="5.7109375" style="1" customWidth="1"/>
    <x:col min="13061" max="13061" width="11.28515625" style="1" customWidth="1"/>
    <x:col min="13062" max="13062" width="28.140625" style="1" customWidth="1"/>
    <x:col min="13063" max="13063" width="15.140625" style="1" customWidth="1"/>
    <x:col min="13064" max="13064" width="13.140625" style="1" customWidth="1"/>
    <x:col min="13065" max="13312" width="9.140625" style="1" customWidth="0"/>
    <x:col min="13313" max="13313" width="45.7109375" style="1" customWidth="1"/>
    <x:col min="13314" max="13314" width="11.7109375" style="1" customWidth="1"/>
    <x:col min="13315" max="13315" width="4.28515625" style="1" customWidth="1"/>
    <x:col min="13316" max="13316" width="5.7109375" style="1" customWidth="1"/>
    <x:col min="13317" max="13317" width="11.28515625" style="1" customWidth="1"/>
    <x:col min="13318" max="13318" width="28.140625" style="1" customWidth="1"/>
    <x:col min="13319" max="13319" width="15.140625" style="1" customWidth="1"/>
    <x:col min="13320" max="13320" width="13.140625" style="1" customWidth="1"/>
    <x:col min="13321" max="13568" width="9.140625" style="1" customWidth="0"/>
    <x:col min="13569" max="13569" width="45.7109375" style="1" customWidth="1"/>
    <x:col min="13570" max="13570" width="11.7109375" style="1" customWidth="1"/>
    <x:col min="13571" max="13571" width="4.28515625" style="1" customWidth="1"/>
    <x:col min="13572" max="13572" width="5.7109375" style="1" customWidth="1"/>
    <x:col min="13573" max="13573" width="11.28515625" style="1" customWidth="1"/>
    <x:col min="13574" max="13574" width="28.140625" style="1" customWidth="1"/>
    <x:col min="13575" max="13575" width="15.140625" style="1" customWidth="1"/>
    <x:col min="13576" max="13576" width="13.140625" style="1" customWidth="1"/>
    <x:col min="13577" max="13824" width="9.140625" style="1" customWidth="0"/>
    <x:col min="13825" max="13825" width="45.7109375" style="1" customWidth="1"/>
    <x:col min="13826" max="13826" width="11.7109375" style="1" customWidth="1"/>
    <x:col min="13827" max="13827" width="4.28515625" style="1" customWidth="1"/>
    <x:col min="13828" max="13828" width="5.7109375" style="1" customWidth="1"/>
    <x:col min="13829" max="13829" width="11.28515625" style="1" customWidth="1"/>
    <x:col min="13830" max="13830" width="28.140625" style="1" customWidth="1"/>
    <x:col min="13831" max="13831" width="15.140625" style="1" customWidth="1"/>
    <x:col min="13832" max="13832" width="13.140625" style="1" customWidth="1"/>
    <x:col min="13833" max="14080" width="9.140625" style="1" customWidth="0"/>
    <x:col min="14081" max="14081" width="45.7109375" style="1" customWidth="1"/>
    <x:col min="14082" max="14082" width="11.7109375" style="1" customWidth="1"/>
    <x:col min="14083" max="14083" width="4.28515625" style="1" customWidth="1"/>
    <x:col min="14084" max="14084" width="5.7109375" style="1" customWidth="1"/>
    <x:col min="14085" max="14085" width="11.28515625" style="1" customWidth="1"/>
    <x:col min="14086" max="14086" width="28.140625" style="1" customWidth="1"/>
    <x:col min="14087" max="14087" width="15.140625" style="1" customWidth="1"/>
    <x:col min="14088" max="14088" width="13.140625" style="1" customWidth="1"/>
    <x:col min="14089" max="14336" width="9.140625" style="1" customWidth="0"/>
    <x:col min="14337" max="14337" width="45.7109375" style="1" customWidth="1"/>
    <x:col min="14338" max="14338" width="11.7109375" style="1" customWidth="1"/>
    <x:col min="14339" max="14339" width="4.28515625" style="1" customWidth="1"/>
    <x:col min="14340" max="14340" width="5.7109375" style="1" customWidth="1"/>
    <x:col min="14341" max="14341" width="11.28515625" style="1" customWidth="1"/>
    <x:col min="14342" max="14342" width="28.140625" style="1" customWidth="1"/>
    <x:col min="14343" max="14343" width="15.140625" style="1" customWidth="1"/>
    <x:col min="14344" max="14344" width="13.140625" style="1" customWidth="1"/>
    <x:col min="14345" max="14592" width="9.140625" style="1" customWidth="0"/>
    <x:col min="14593" max="14593" width="45.7109375" style="1" customWidth="1"/>
    <x:col min="14594" max="14594" width="11.7109375" style="1" customWidth="1"/>
    <x:col min="14595" max="14595" width="4.28515625" style="1" customWidth="1"/>
    <x:col min="14596" max="14596" width="5.7109375" style="1" customWidth="1"/>
    <x:col min="14597" max="14597" width="11.28515625" style="1" customWidth="1"/>
    <x:col min="14598" max="14598" width="28.140625" style="1" customWidth="1"/>
    <x:col min="14599" max="14599" width="15.140625" style="1" customWidth="1"/>
    <x:col min="14600" max="14600" width="13.140625" style="1" customWidth="1"/>
    <x:col min="14601" max="14848" width="9.140625" style="1" customWidth="0"/>
    <x:col min="14849" max="14849" width="45.7109375" style="1" customWidth="1"/>
    <x:col min="14850" max="14850" width="11.7109375" style="1" customWidth="1"/>
    <x:col min="14851" max="14851" width="4.28515625" style="1" customWidth="1"/>
    <x:col min="14852" max="14852" width="5.7109375" style="1" customWidth="1"/>
    <x:col min="14853" max="14853" width="11.28515625" style="1" customWidth="1"/>
    <x:col min="14854" max="14854" width="28.140625" style="1" customWidth="1"/>
    <x:col min="14855" max="14855" width="15.140625" style="1" customWidth="1"/>
    <x:col min="14856" max="14856" width="13.140625" style="1" customWidth="1"/>
    <x:col min="14857" max="15104" width="9.140625" style="1" customWidth="0"/>
    <x:col min="15105" max="15105" width="45.7109375" style="1" customWidth="1"/>
    <x:col min="15106" max="15106" width="11.7109375" style="1" customWidth="1"/>
    <x:col min="15107" max="15107" width="4.28515625" style="1" customWidth="1"/>
    <x:col min="15108" max="15108" width="5.7109375" style="1" customWidth="1"/>
    <x:col min="15109" max="15109" width="11.28515625" style="1" customWidth="1"/>
    <x:col min="15110" max="15110" width="28.140625" style="1" customWidth="1"/>
    <x:col min="15111" max="15111" width="15.140625" style="1" customWidth="1"/>
    <x:col min="15112" max="15112" width="13.140625" style="1" customWidth="1"/>
    <x:col min="15113" max="15360" width="9.140625" style="1" customWidth="0"/>
    <x:col min="15361" max="15361" width="45.7109375" style="1" customWidth="1"/>
    <x:col min="15362" max="15362" width="11.7109375" style="1" customWidth="1"/>
    <x:col min="15363" max="15363" width="4.28515625" style="1" customWidth="1"/>
    <x:col min="15364" max="15364" width="5.7109375" style="1" customWidth="1"/>
    <x:col min="15365" max="15365" width="11.28515625" style="1" customWidth="1"/>
    <x:col min="15366" max="15366" width="28.140625" style="1" customWidth="1"/>
    <x:col min="15367" max="15367" width="15.140625" style="1" customWidth="1"/>
    <x:col min="15368" max="15368" width="13.140625" style="1" customWidth="1"/>
    <x:col min="15369" max="15616" width="9.140625" style="1" customWidth="0"/>
    <x:col min="15617" max="15617" width="45.7109375" style="1" customWidth="1"/>
    <x:col min="15618" max="15618" width="11.7109375" style="1" customWidth="1"/>
    <x:col min="15619" max="15619" width="4.28515625" style="1" customWidth="1"/>
    <x:col min="15620" max="15620" width="5.7109375" style="1" customWidth="1"/>
    <x:col min="15621" max="15621" width="11.28515625" style="1" customWidth="1"/>
    <x:col min="15622" max="15622" width="28.140625" style="1" customWidth="1"/>
    <x:col min="15623" max="15623" width="15.140625" style="1" customWidth="1"/>
    <x:col min="15624" max="15624" width="13.140625" style="1" customWidth="1"/>
    <x:col min="15625" max="15872" width="9.140625" style="1" customWidth="0"/>
    <x:col min="15873" max="15873" width="45.7109375" style="1" customWidth="1"/>
    <x:col min="15874" max="15874" width="11.7109375" style="1" customWidth="1"/>
    <x:col min="15875" max="15875" width="4.28515625" style="1" customWidth="1"/>
    <x:col min="15876" max="15876" width="5.7109375" style="1" customWidth="1"/>
    <x:col min="15877" max="15877" width="11.28515625" style="1" customWidth="1"/>
    <x:col min="15878" max="15878" width="28.140625" style="1" customWidth="1"/>
    <x:col min="15879" max="15879" width="15.140625" style="1" customWidth="1"/>
    <x:col min="15880" max="15880" width="13.140625" style="1" customWidth="1"/>
    <x:col min="15881" max="16128" width="9.140625" style="1" customWidth="0"/>
    <x:col min="16129" max="16129" width="45.7109375" style="1" customWidth="1"/>
    <x:col min="16130" max="16130" width="11.7109375" style="1" customWidth="1"/>
    <x:col min="16131" max="16131" width="4.28515625" style="1" customWidth="1"/>
    <x:col min="16132" max="16132" width="5.7109375" style="1" customWidth="1"/>
    <x:col min="16133" max="16133" width="11.28515625" style="1" customWidth="1"/>
    <x:col min="16134" max="16134" width="28.140625" style="1" customWidth="1"/>
    <x:col min="16135" max="16135" width="15.140625" style="1" customWidth="1"/>
    <x:col min="16136" max="16136" width="13.140625" style="1" customWidth="1"/>
    <x:col min="16137" max="16384" width="9.140625" style="1" customWidth="0"/>
  </x:cols>
  <x:sheetData>
    <x:row r="1">
      <x:c r="A1" s="40" t="s">
        <x:v>69</x:v>
      </x:c>
      <x:c r="B1" s="39" t="s">
        <x:v>70</x:v>
      </x:c>
      <x:c r="C1" s="40" t="s">
        <x:v>71</x:v>
      </x:c>
      <x:c r="D1" s="40" t="s">
        <x:v>72</x:v>
      </x:c>
      <x:c r="E1" s="40" t="s">
        <x:v>73</x:v>
      </x:c>
      <x:c r="F1" s="40" t="s">
        <x:v>74</x:v>
      </x:c>
      <x:c r="G1" s="39" t="s">
        <x:v>75</x:v>
      </x:c>
      <x:c r="H1" s="39" t="s">
        <x:v>76</x:v>
      </x:c>
      <x:c r="I1" s="39" t="s">
        <x:v>77</x:v>
      </x:c>
      <x:c r="J1" s="38" t="s">
        <x:v>0</x:v>
      </x:c>
      <x:c r="K1" s="38" t="s">
        <x:v>78</x:v>
      </x:c>
    </x:row>
    <x:row r="2" s="22" customFormat="1" hidden="1">
      <x:c r="A2" s="34" t="s">
        <x:v>79</x:v>
      </x:c>
      <x:c r="B2" s="32">
        <x:v>46113</x:v>
      </x:c>
      <x:c r="C2" s="45" t="str">
        <x:f t="shared" ref="C2:C65" si="0">UPPER(TEXT(B2,"MMMM"))</x:f>
        <x:v>APRIL</x:v>
      </x:c>
      <x:c r="D2" s="34" t="s">
        <x:v>80</x:v>
      </x:c>
      <x:c r="E2" s="34" t="s">
        <x:v>81</x:v>
      </x:c>
      <x:c r="F2" s="34" t="s">
        <x:v>68</x:v>
      </x:c>
      <x:c r="G2" s="49">
        <x:v>-35</x:v>
      </x:c>
      <x:c r="H2" s="48" t="s">
        <x:v>82</x:v>
      </x:c>
      <x:c r="I2" s="33" t="s">
        <x:v>83</x:v>
      </x:c>
      <x:c r="J2" s="32">
        <x:v>46142</x:v>
      </x:c>
      <x:c r="K2" s="22" t="s">
        <x:v>21</x:v>
      </x:c>
      <x:c r="XFB2" s="1"/>
    </x:row>
    <x:row r="3" s="22" customFormat="1" hidden="1">
      <x:c r="A3" s="34" t="s">
        <x:v>84</x:v>
      </x:c>
      <x:c r="B3" s="32">
        <x:v>46113</x:v>
      </x:c>
      <x:c r="C3" s="45" t="str">
        <x:f t="shared" si="0"/>
        <x:v>ABRIL</x:v>
      </x:c>
      <x:c r="D3" s="34" t="s">
        <x:v>85</x:v>
      </x:c>
      <x:c r="E3" s="34" t="s">
        <x:v>81</x:v>
      </x:c>
      <x:c r="F3" s="34" t="s">
        <x:v>68</x:v>
      </x:c>
      <x:c r="G3" s="49">
        <x:v>-50</x:v>
      </x:c>
      <x:c r="H3" s="48" t="s">
        <x:v>82</x:v>
      </x:c>
      <x:c r="I3" s="33" t="s">
        <x:v>83</x:v>
      </x:c>
      <x:c r="J3" s="32">
        <x:v>46142</x:v>
      </x:c>
      <x:c r="K3" s="22" t="s">
        <x:v>21</x:v>
      </x:c>
      <x:c r="XFB3" s="1"/>
    </x:row>
    <x:row r="4" s="22" customFormat="1" hidden="1">
      <x:c r="A4" s="34" t="s">
        <x:v>86</x:v>
      </x:c>
      <x:c r="B4" s="32">
        <x:v>46113</x:v>
      </x:c>
      <x:c r="C4" s="45" t="str">
        <x:f t="shared" si="0"/>
        <x:v>ABRIL</x:v>
      </x:c>
      <x:c r="D4" s="34" t="s">
        <x:v>85</x:v>
      </x:c>
      <x:c r="E4" s="34" t="s">
        <x:v>87</x:v>
      </x:c>
      <x:c r="F4" s="34" t="s">
        <x:v>68</x:v>
      </x:c>
      <x:c r="G4" s="49">
        <x:v>-26171.58</x:v>
      </x:c>
      <x:c r="H4" s="48" t="s">
        <x:v>82</x:v>
      </x:c>
      <x:c r="I4" s="33" t="s">
        <x:v>83</x:v>
      </x:c>
      <x:c r="J4" s="32">
        <x:v>46142</x:v>
      </x:c>
      <x:c r="K4" s="22" t="s">
        <x:v>21</x:v>
      </x:c>
      <x:c r="XFB4" s="1"/>
    </x:row>
    <x:row r="5" s="22" customFormat="1" hidden="1">
      <x:c r="A5" s="52" t="s">
        <x:v>88</x:v>
      </x:c>
      <x:c r="B5" s="32">
        <x:v>46113</x:v>
      </x:c>
      <x:c r="C5" s="45" t="str">
        <x:f t="shared" si="0"/>
        <x:v>ABRIL</x:v>
      </x:c>
      <x:c r="D5" s="34" t="s">
        <x:v>89</x:v>
      </x:c>
      <x:c r="E5" s="34" t="s">
        <x:v>90</x:v>
      </x:c>
      <x:c r="F5" s="34" t="s">
        <x:v>68</x:v>
      </x:c>
      <x:c r="G5" s="49">
        <x:v>11453.8</x:v>
      </x:c>
      <x:c r="H5" s="48" t="s">
        <x:v>91</x:v>
      </x:c>
      <x:c r="I5" s="33" t="s">
        <x:v>83</x:v>
      </x:c>
      <x:c r="J5" s="32">
        <x:v>46140</x:v>
      </x:c>
      <x:c r="K5" s="22" t="s">
        <x:v>21</x:v>
      </x:c>
      <x:c r="XFB5" s="1"/>
    </x:row>
    <x:row r="6" s="22" customFormat="1" hidden="1">
      <x:c r="A6" s="52" t="s">
        <x:v>92</x:v>
      </x:c>
      <x:c r="B6" s="32">
        <x:v>46113</x:v>
      </x:c>
      <x:c r="C6" s="45" t="str">
        <x:f t="shared" si="0"/>
        <x:v>ABRIL</x:v>
      </x:c>
      <x:c r="D6" s="34" t="s">
        <x:v>93</x:v>
      </x:c>
      <x:c r="E6" s="34" t="s">
        <x:v>81</x:v>
      </x:c>
      <x:c r="F6" s="34" t="s">
        <x:v>68</x:v>
      </x:c>
      <x:c r="G6" s="49">
        <x:v>-400</x:v>
      </x:c>
      <x:c r="H6" s="48" t="s">
        <x:v>82</x:v>
      </x:c>
      <x:c r="I6" s="33" t="s">
        <x:v>83</x:v>
      </x:c>
      <x:c r="J6" s="32">
        <x:v>46140</x:v>
      </x:c>
      <x:c r="K6" s="22" t="s">
        <x:v>21</x:v>
      </x:c>
      <x:c r="XFB6" s="1"/>
    </x:row>
    <x:row r="7" s="22" customFormat="1" hidden="1">
      <x:c r="A7" s="52" t="s">
        <x:v>94</x:v>
      </x:c>
      <x:c r="B7" s="32">
        <x:v>46113</x:v>
      </x:c>
      <x:c r="C7" s="45" t="str">
        <x:f t="shared" si="0"/>
        <x:v>ABRIL</x:v>
      </x:c>
      <x:c r="D7" s="34" t="s">
        <x:v>89</x:v>
      </x:c>
      <x:c r="E7" s="34" t="s">
        <x:v>90</x:v>
      </x:c>
      <x:c r="F7" s="34" t="s">
        <x:v>68</x:v>
      </x:c>
      <x:c r="G7" s="49">
        <x:v>10771</x:v>
      </x:c>
      <x:c r="H7" s="48" t="s">
        <x:v>91</x:v>
      </x:c>
      <x:c r="I7" s="33" t="s">
        <x:v>83</x:v>
      </x:c>
      <x:c r="J7" s="32">
        <x:v>46139</x:v>
      </x:c>
      <x:c r="K7" s="22" t="s">
        <x:v>21</x:v>
      </x:c>
      <x:c r="XFB7" s="1"/>
    </x:row>
    <x:row r="8" s="22" customFormat="1" hidden="1">
      <x:c r="A8" s="52" t="s">
        <x:v>95</x:v>
      </x:c>
      <x:c r="B8" s="32">
        <x:v>46113</x:v>
      </x:c>
      <x:c r="C8" s="45" t="str">
        <x:f t="shared" si="0"/>
        <x:v>ABRIL</x:v>
      </x:c>
      <x:c r="D8" s="34" t="s">
        <x:v>93</x:v>
      </x:c>
      <x:c r="E8" s="34" t="s">
        <x:v>81</x:v>
      </x:c>
      <x:c r="F8" s="34" t="s">
        <x:v>68</x:v>
      </x:c>
      <x:c r="G8" s="49">
        <x:v>-400</x:v>
      </x:c>
      <x:c r="H8" s="48" t="s">
        <x:v>82</x:v>
      </x:c>
      <x:c r="I8" s="33" t="s">
        <x:v>83</x:v>
      </x:c>
      <x:c r="J8" s="32">
        <x:v>46139</x:v>
      </x:c>
      <x:c r="K8" s="22" t="s">
        <x:v>21</x:v>
      </x:c>
      <x:c r="XFB8" s="1"/>
    </x:row>
    <x:row r="9" s="22" customFormat="1" hidden="1">
      <x:c r="A9" s="52" t="s">
        <x:v>96</x:v>
      </x:c>
      <x:c r="B9" s="32">
        <x:v>46113</x:v>
      </x:c>
      <x:c r="C9" s="45" t="str">
        <x:f t="shared" si="0"/>
        <x:v>ABRIL</x:v>
      </x:c>
      <x:c r="D9" s="34" t="s">
        <x:v>93</x:v>
      </x:c>
      <x:c r="E9" s="34" t="s">
        <x:v>81</x:v>
      </x:c>
      <x:c r="F9" s="34" t="s">
        <x:v>68</x:v>
      </x:c>
      <x:c r="G9" s="49">
        <x:v>-400</x:v>
      </x:c>
      <x:c r="H9" s="48" t="s">
        <x:v>82</x:v>
      </x:c>
      <x:c r="I9" s="33" t="s">
        <x:v>83</x:v>
      </x:c>
      <x:c r="J9" s="32">
        <x:v>46135</x:v>
      </x:c>
      <x:c r="K9" s="22" t="s">
        <x:v>21</x:v>
      </x:c>
      <x:c r="XFB9" s="1"/>
    </x:row>
    <x:row r="10" s="22" customFormat="1" hidden="1">
      <x:c r="A10" s="52" t="s">
        <x:v>88</x:v>
      </x:c>
      <x:c r="B10" s="32">
        <x:v>46113</x:v>
      </x:c>
      <x:c r="C10" s="45" t="str">
        <x:f t="shared" si="0"/>
        <x:v>ABRIL</x:v>
      </x:c>
      <x:c r="D10" s="34" t="s">
        <x:v>89</x:v>
      </x:c>
      <x:c r="E10" s="34" t="s">
        <x:v>90</x:v>
      </x:c>
      <x:c r="F10" s="34" t="s">
        <x:v>68</x:v>
      </x:c>
      <x:c r="G10" s="49">
        <x:v>11500.2</x:v>
      </x:c>
      <x:c r="H10" s="48" t="s">
        <x:v>91</x:v>
      </x:c>
      <x:c r="I10" s="33" t="s">
        <x:v>83</x:v>
      </x:c>
      <x:c r="J10" s="32">
        <x:v>46135</x:v>
      </x:c>
      <x:c r="K10" s="22" t="s">
        <x:v>21</x:v>
      </x:c>
      <x:c r="XFB10" s="1"/>
    </x:row>
    <x:row r="11" s="22" customFormat="1" hidden="1">
      <x:c r="A11" s="34" t="s">
        <x:v>97</x:v>
      </x:c>
      <x:c r="B11" s="32">
        <x:v>46113</x:v>
      </x:c>
      <x:c r="C11" s="45" t="str">
        <x:f t="shared" si="0"/>
        <x:v>ABRIL</x:v>
      </x:c>
      <x:c r="D11" s="34" t="s">
        <x:v>85</x:v>
      </x:c>
      <x:c r="E11" s="34" t="s">
        <x:v>81</x:v>
      </x:c>
      <x:c r="F11" s="34" t="s">
        <x:v>68</x:v>
      </x:c>
      <x:c r="G11" s="49">
        <x:v>-100</x:v>
      </x:c>
      <x:c r="H11" s="48" t="s">
        <x:v>82</x:v>
      </x:c>
      <x:c r="I11" s="33" t="s">
        <x:v>83</x:v>
      </x:c>
      <x:c r="J11" s="32">
        <x:v>46135</x:v>
      </x:c>
      <x:c r="K11" s="22" t="s">
        <x:v>21</x:v>
      </x:c>
      <x:c r="XFB11" s="1"/>
    </x:row>
    <x:row r="12" s="22" customFormat="1" hidden="1">
      <x:c r="A12" s="52" t="s">
        <x:v>98</x:v>
      </x:c>
      <x:c r="B12" s="32">
        <x:v>46113</x:v>
      </x:c>
      <x:c r="C12" s="45" t="str">
        <x:f t="shared" si="0"/>
        <x:v>ABRIL</x:v>
      </x:c>
      <x:c r="D12" s="34" t="s">
        <x:v>93</x:v>
      </x:c>
      <x:c r="E12" s="34" t="s">
        <x:v>81</x:v>
      </x:c>
      <x:c r="F12" s="34" t="s">
        <x:v>68</x:v>
      </x:c>
      <x:c r="G12" s="49">
        <x:v>-400</x:v>
      </x:c>
      <x:c r="H12" s="48" t="s">
        <x:v>82</x:v>
      </x:c>
      <x:c r="I12" s="33" t="s">
        <x:v>83</x:v>
      </x:c>
      <x:c r="J12" s="32">
        <x:v>46130</x:v>
      </x:c>
      <x:c r="K12" s="22" t="s">
        <x:v>21</x:v>
      </x:c>
      <x:c r="XFB12" s="1"/>
    </x:row>
    <x:row r="13" s="22" customFormat="1" hidden="1">
      <x:c r="A13" s="52" t="s">
        <x:v>99</x:v>
      </x:c>
      <x:c r="B13" s="32">
        <x:v>46113</x:v>
      </x:c>
      <x:c r="C13" s="45" t="str">
        <x:f t="shared" si="0"/>
        <x:v>ABRIL</x:v>
      </x:c>
      <x:c r="D13" s="34" t="s">
        <x:v>89</x:v>
      </x:c>
      <x:c r="E13" s="34" t="s">
        <x:v>90</x:v>
      </x:c>
      <x:c r="F13" s="34" t="s">
        <x:v>68</x:v>
      </x:c>
      <x:c r="G13" s="49">
        <x:v>10890</x:v>
      </x:c>
      <x:c r="H13" s="48" t="s">
        <x:v>91</x:v>
      </x:c>
      <x:c r="I13" s="33" t="s">
        <x:v>83</x:v>
      </x:c>
      <x:c r="J13" s="32">
        <x:v>46130</x:v>
      </x:c>
      <x:c r="K13" s="22" t="s">
        <x:v>21</x:v>
      </x:c>
      <x:c r="XFB13" s="1"/>
    </x:row>
    <x:row r="14" s="22" customFormat="1" hidden="1">
      <x:c r="A14" s="34" t="s">
        <x:v>86</x:v>
      </x:c>
      <x:c r="B14" s="32">
        <x:v>46113</x:v>
      </x:c>
      <x:c r="C14" s="45" t="str">
        <x:f t="shared" si="0"/>
        <x:v>ABRIL</x:v>
      </x:c>
      <x:c r="D14" s="34" t="s">
        <x:v>85</x:v>
      </x:c>
      <x:c r="E14" s="34" t="s">
        <x:v>87</x:v>
      </x:c>
      <x:c r="F14" s="34" t="s">
        <x:v>68</x:v>
      </x:c>
      <x:c r="G14" s="49">
        <x:v>-26968.33</x:v>
      </x:c>
      <x:c r="H14" s="48" t="s">
        <x:v>82</x:v>
      </x:c>
      <x:c r="I14" s="33" t="s">
        <x:v>83</x:v>
      </x:c>
      <x:c r="J14" s="32">
        <x:v>46129</x:v>
      </x:c>
      <x:c r="K14" s="22" t="s">
        <x:v>21</x:v>
      </x:c>
      <x:c r="XFB14" s="1"/>
    </x:row>
    <x:row r="15" s="22" customFormat="1" hidden="1">
      <x:c r="A15" s="52" t="s">
        <x:v>100</x:v>
      </x:c>
      <x:c r="B15" s="32">
        <x:v>46113</x:v>
      </x:c>
      <x:c r="C15" s="45" t="str">
        <x:f t="shared" si="0"/>
        <x:v>ABRIL</x:v>
      </x:c>
      <x:c r="D15" s="34" t="s">
        <x:v>93</x:v>
      </x:c>
      <x:c r="E15" s="34" t="s">
        <x:v>81</x:v>
      </x:c>
      <x:c r="F15" s="34" t="s">
        <x:v>68</x:v>
      </x:c>
      <x:c r="G15" s="49">
        <x:v>-400</x:v>
      </x:c>
      <x:c r="H15" s="48" t="s">
        <x:v>82</x:v>
      </x:c>
      <x:c r="I15" s="33" t="s">
        <x:v>83</x:v>
      </x:c>
      <x:c r="J15" s="32">
        <x:v>46128</x:v>
      </x:c>
      <x:c r="K15" s="22" t="s">
        <x:v>21</x:v>
      </x:c>
      <x:c r="XFB15" s="1"/>
    </x:row>
    <x:row r="16" s="22" customFormat="1" hidden="1">
      <x:c r="A16" s="52" t="s">
        <x:v>88</x:v>
      </x:c>
      <x:c r="B16" s="32">
        <x:v>46113</x:v>
      </x:c>
      <x:c r="C16" s="45" t="str">
        <x:f t="shared" si="0"/>
        <x:v>ABRIL</x:v>
      </x:c>
      <x:c r="D16" s="34" t="s">
        <x:v>89</x:v>
      </x:c>
      <x:c r="E16" s="34" t="s">
        <x:v>90</x:v>
      </x:c>
      <x:c r="F16" s="34" t="s">
        <x:v>68</x:v>
      </x:c>
      <x:c r="G16" s="49">
        <x:v>11441.3</x:v>
      </x:c>
      <x:c r="H16" s="48" t="s">
        <x:v>91</x:v>
      </x:c>
      <x:c r="I16" s="33" t="s">
        <x:v>83</x:v>
      </x:c>
      <x:c r="J16" s="32">
        <x:v>46128</x:v>
      </x:c>
      <x:c r="K16" s="22" t="s">
        <x:v>21</x:v>
      </x:c>
      <x:c r="XFB16" s="1"/>
    </x:row>
    <x:row r="17" s="22" customFormat="1" hidden="1">
      <x:c r="A17" s="34" t="s">
        <x:v>101</x:v>
      </x:c>
      <x:c r="B17" s="32">
        <x:v>46113</x:v>
      </x:c>
      <x:c r="C17" s="45" t="str">
        <x:f t="shared" si="0"/>
        <x:v>ABRIL</x:v>
      </x:c>
      <x:c r="D17" s="34" t="s">
        <x:v>102</x:v>
      </x:c>
      <x:c r="E17" s="34" t="s">
        <x:v>103</x:v>
      </x:c>
      <x:c r="F17" s="34" t="s">
        <x:v>68</x:v>
      </x:c>
      <x:c r="G17" s="49">
        <x:v>-1931.28</x:v>
      </x:c>
      <x:c r="H17" s="48" t="s">
        <x:v>82</x:v>
      </x:c>
      <x:c r="I17" s="33" t="s">
        <x:v>83</x:v>
      </x:c>
      <x:c r="J17" s="32">
        <x:v>46127</x:v>
      </x:c>
      <x:c r="K17" s="22" t="s">
        <x:v>21</x:v>
      </x:c>
      <x:c r="XFB17" s="1"/>
    </x:row>
    <x:row r="18" s="22" customFormat="1" hidden="1">
      <x:c r="A18" s="34" t="s">
        <x:v>104</x:v>
      </x:c>
      <x:c r="B18" s="32">
        <x:v>46113</x:v>
      </x:c>
      <x:c r="C18" s="45" t="str">
        <x:f t="shared" si="0"/>
        <x:v>ABRIL</x:v>
      </x:c>
      <x:c r="D18" s="34" t="s">
        <x:v>102</x:v>
      </x:c>
      <x:c r="E18" s="34" t="s">
        <x:v>103</x:v>
      </x:c>
      <x:c r="F18" s="34" t="s">
        <x:v>68</x:v>
      </x:c>
      <x:c r="G18" s="49">
        <x:v>-109.59</x:v>
      </x:c>
      <x:c r="H18" s="48" t="s">
        <x:v>82</x:v>
      </x:c>
      <x:c r="I18" s="33" t="s">
        <x:v>83</x:v>
      </x:c>
      <x:c r="J18" s="32">
        <x:v>46127</x:v>
      </x:c>
      <x:c r="K18" s="22" t="s">
        <x:v>21</x:v>
      </x:c>
      <x:c r="XFB18" s="1"/>
    </x:row>
    <x:row r="19" s="22" customFormat="1" hidden="1">
      <x:c r="A19" s="34" t="s">
        <x:v>105</x:v>
      </x:c>
      <x:c r="B19" s="32">
        <x:v>46113</x:v>
      </x:c>
      <x:c r="C19" s="45" t="str">
        <x:f t="shared" si="0"/>
        <x:v>ABRIL</x:v>
      </x:c>
      <x:c r="D19" s="34" t="s">
        <x:v>106</x:v>
      </x:c>
      <x:c r="E19" s="34" t="s">
        <x:v>107</x:v>
      </x:c>
      <x:c r="F19" s="34" t="s">
        <x:v>68</x:v>
      </x:c>
      <x:c r="G19" s="49">
        <x:v>-65</x:v>
      </x:c>
      <x:c r="H19" s="48" t="s">
        <x:v>82</x:v>
      </x:c>
      <x:c r="I19" s="33" t="s">
        <x:v>83</x:v>
      </x:c>
      <x:c r="J19" s="32">
        <x:v>46127</x:v>
      </x:c>
      <x:c r="K19" s="22" t="s">
        <x:v>21</x:v>
      </x:c>
      <x:c r="XFB19" s="1"/>
    </x:row>
    <x:row r="20" s="22" customFormat="1" hidden="1">
      <x:c r="A20" s="52" t="s">
        <x:v>88</x:v>
      </x:c>
      <x:c r="B20" s="32">
        <x:v>46113</x:v>
      </x:c>
      <x:c r="C20" s="45" t="str">
        <x:f t="shared" si="0"/>
        <x:v>ABRIL</x:v>
      </x:c>
      <x:c r="D20" s="34" t="s">
        <x:v>89</x:v>
      </x:c>
      <x:c r="E20" s="34" t="s">
        <x:v>90</x:v>
      </x:c>
      <x:c r="F20" s="34" t="s">
        <x:v>68</x:v>
      </x:c>
      <x:c r="G20" s="49">
        <x:v>11376.4</x:v>
      </x:c>
      <x:c r="H20" s="48" t="s">
        <x:v>91</x:v>
      </x:c>
      <x:c r="I20" s="33" t="s">
        <x:v>83</x:v>
      </x:c>
      <x:c r="J20" s="32">
        <x:v>46126</x:v>
      </x:c>
      <x:c r="K20" s="22" t="s">
        <x:v>21</x:v>
      </x:c>
      <x:c r="XFB20" s="1"/>
    </x:row>
    <x:row r="21" s="22" customFormat="1" hidden="1">
      <x:c r="A21" s="52" t="s">
        <x:v>108</x:v>
      </x:c>
      <x:c r="B21" s="32">
        <x:v>46113</x:v>
      </x:c>
      <x:c r="C21" s="45" t="str">
        <x:f t="shared" si="0"/>
        <x:v>ABRIL</x:v>
      </x:c>
      <x:c r="D21" s="34" t="s">
        <x:v>93</x:v>
      </x:c>
      <x:c r="E21" s="34" t="s">
        <x:v>81</x:v>
      </x:c>
      <x:c r="F21" s="34" t="s">
        <x:v>68</x:v>
      </x:c>
      <x:c r="G21" s="49">
        <x:v>-400</x:v>
      </x:c>
      <x:c r="H21" s="48" t="s">
        <x:v>82</x:v>
      </x:c>
      <x:c r="I21" s="33" t="s">
        <x:v>83</x:v>
      </x:c>
      <x:c r="J21" s="32">
        <x:v>46126</x:v>
      </x:c>
      <x:c r="K21" s="22" t="s">
        <x:v>21</x:v>
      </x:c>
      <x:c r="XFB21" s="1"/>
    </x:row>
    <x:row r="22" s="22" customFormat="1" hidden="1">
      <x:c r="A22" s="34" t="s">
        <x:v>109</x:v>
      </x:c>
      <x:c r="B22" s="32">
        <x:v>46113</x:v>
      </x:c>
      <x:c r="C22" s="45" t="str">
        <x:f t="shared" si="0"/>
        <x:v>ABRIL</x:v>
      </x:c>
      <x:c r="D22" s="34" t="s">
        <x:v>110</x:v>
      </x:c>
      <x:c r="E22" s="34" t="s">
        <x:v>111</x:v>
      </x:c>
      <x:c r="F22" s="34" t="s">
        <x:v>68</x:v>
      </x:c>
      <x:c r="G22" s="49">
        <x:v>-9937.3799999999992</x:v>
      </x:c>
      <x:c r="H22" s="48" t="s">
        <x:v>82</x:v>
      </x:c>
      <x:c r="I22" s="33" t="s">
        <x:v>83</x:v>
      </x:c>
      <x:c r="J22" s="32">
        <x:v>46125</x:v>
      </x:c>
      <x:c r="K22" s="22" t="s">
        <x:v>21</x:v>
      </x:c>
      <x:c r="XFB22" s="1"/>
    </x:row>
    <x:row r="23" s="22" customFormat="1" hidden="1">
      <x:c r="A23" s="34" t="s">
        <x:v>112</x:v>
      </x:c>
      <x:c r="B23" s="32">
        <x:v>46113</x:v>
      </x:c>
      <x:c r="C23" s="45" t="str">
        <x:f t="shared" si="0"/>
        <x:v>ABRIL</x:v>
      </x:c>
      <x:c r="D23" s="34" t="s">
        <x:v>113</x:v>
      </x:c>
      <x:c r="E23" s="34" t="s">
        <x:v>114</x:v>
      </x:c>
      <x:c r="F23" s="34" t="s">
        <x:v>68</x:v>
      </x:c>
      <x:c r="G23" s="49">
        <x:v>-21836.21</x:v>
      </x:c>
      <x:c r="H23" s="48" t="s">
        <x:v>82</x:v>
      </x:c>
      <x:c r="I23" s="33" t="s">
        <x:v>83</x:v>
      </x:c>
      <x:c r="J23" s="32">
        <x:v>46122</x:v>
      </x:c>
      <x:c r="K23" s="22" t="s">
        <x:v>21</x:v>
      </x:c>
      <x:c r="XFB23" s="1"/>
    </x:row>
    <x:row r="24" s="22" customFormat="1" hidden="1">
      <x:c r="A24" s="34" t="s">
        <x:v>115</x:v>
      </x:c>
      <x:c r="B24" s="32">
        <x:v>46113</x:v>
      </x:c>
      <x:c r="C24" s="45" t="str">
        <x:f t="shared" si="0"/>
        <x:v>ABRIL</x:v>
      </x:c>
      <x:c r="D24" s="34" t="s">
        <x:v>116</x:v>
      </x:c>
      <x:c r="E24" s="34" t="s">
        <x:v>117</x:v>
      </x:c>
      <x:c r="F24" s="34" t="s">
        <x:v>68</x:v>
      </x:c>
      <x:c r="G24" s="49">
        <x:v>-2169.63</x:v>
      </x:c>
      <x:c r="H24" s="48" t="s">
        <x:v>82</x:v>
      </x:c>
      <x:c r="I24" s="33" t="s">
        <x:v>83</x:v>
      </x:c>
      <x:c r="J24" s="32">
        <x:v>46122</x:v>
      </x:c>
      <x:c r="K24" s="22" t="s">
        <x:v>21</x:v>
      </x:c>
      <x:c r="XFB24" s="1"/>
    </x:row>
    <x:row r="25" s="22" customFormat="1" hidden="1">
      <x:c r="A25" s="34" t="s">
        <x:v>118</x:v>
      </x:c>
      <x:c r="B25" s="32">
        <x:v>46113</x:v>
      </x:c>
      <x:c r="C25" s="45" t="str">
        <x:f t="shared" si="0"/>
        <x:v>ABRIL</x:v>
      </x:c>
      <x:c r="D25" s="34" t="s">
        <x:v>85</x:v>
      </x:c>
      <x:c r="E25" s="34" t="s">
        <x:v>118</x:v>
      </x:c>
      <x:c r="F25" s="34" t="s">
        <x:v>68</x:v>
      </x:c>
      <x:c r="G25" s="49">
        <x:v>-57</x:v>
      </x:c>
      <x:c r="H25" s="48" t="s">
        <x:v>82</x:v>
      </x:c>
      <x:c r="I25" s="33" t="s">
        <x:v>83</x:v>
      </x:c>
      <x:c r="J25" s="32">
        <x:v>46122</x:v>
      </x:c>
      <x:c r="K25" s="22" t="s">
        <x:v>21</x:v>
      </x:c>
      <x:c r="XFB25" s="1"/>
    </x:row>
    <x:row r="26" s="22" customFormat="1" hidden="1">
      <x:c r="A26" s="34" t="s">
        <x:v>119</x:v>
      </x:c>
      <x:c r="B26" s="32">
        <x:v>46113</x:v>
      </x:c>
      <x:c r="C26" s="45" t="str">
        <x:f t="shared" si="0"/>
        <x:v>ABRIL</x:v>
      </x:c>
      <x:c r="D26" s="34" t="s">
        <x:v>120</x:v>
      </x:c>
      <x:c r="E26" s="34" t="s">
        <x:v>81</x:v>
      </x:c>
      <x:c r="F26" s="34" t="s">
        <x:v>68</x:v>
      </x:c>
      <x:c r="G26" s="49">
        <x:v>-10000</x:v>
      </x:c>
      <x:c r="H26" s="48" t="s">
        <x:v>82</x:v>
      </x:c>
      <x:c r="I26" s="33" t="s">
        <x:v>83</x:v>
      </x:c>
      <x:c r="J26" s="32">
        <x:v>46122</x:v>
      </x:c>
      <x:c r="K26" s="22" t="s">
        <x:v>21</x:v>
      </x:c>
      <x:c r="XFB26" s="1"/>
    </x:row>
    <x:row r="27" s="22" customFormat="1" ht="14.25" hidden="1" customHeight="1">
      <x:c r="A27" s="52" t="s">
        <x:v>121</x:v>
      </x:c>
      <x:c r="B27" s="32">
        <x:v>46113</x:v>
      </x:c>
      <x:c r="C27" s="45" t="str">
        <x:f t="shared" si="0"/>
        <x:v>ABRIL</x:v>
      </x:c>
      <x:c r="D27" s="34" t="s">
        <x:v>89</x:v>
      </x:c>
      <x:c r="E27" s="34" t="s">
        <x:v>90</x:v>
      </x:c>
      <x:c r="F27" s="34" t="s">
        <x:v>68</x:v>
      </x:c>
      <x:c r="G27" s="49">
        <x:v>11490.1</x:v>
      </x:c>
      <x:c r="H27" s="48" t="s">
        <x:v>91</x:v>
      </x:c>
      <x:c r="I27" s="33" t="s">
        <x:v>83</x:v>
      </x:c>
      <x:c r="J27" s="32">
        <x:v>46122</x:v>
      </x:c>
      <x:c r="K27" s="22" t="s">
        <x:v>21</x:v>
      </x:c>
      <x:c r="XFB27" s="1"/>
    </x:row>
    <x:row r="28" s="22" customFormat="1" hidden="1">
      <x:c r="A28" s="52" t="s">
        <x:v>122</x:v>
      </x:c>
      <x:c r="B28" s="32">
        <x:v>46113</x:v>
      </x:c>
      <x:c r="C28" s="45" t="str">
        <x:f t="shared" si="0"/>
        <x:v>ABRIL</x:v>
      </x:c>
      <x:c r="D28" s="34" t="s">
        <x:v>93</x:v>
      </x:c>
      <x:c r="E28" s="34" t="s">
        <x:v>81</x:v>
      </x:c>
      <x:c r="F28" s="34" t="s">
        <x:v>68</x:v>
      </x:c>
      <x:c r="G28" s="49">
        <x:v>-400</x:v>
      </x:c>
      <x:c r="H28" s="48" t="s">
        <x:v>82</x:v>
      </x:c>
      <x:c r="I28" s="33" t="s">
        <x:v>83</x:v>
      </x:c>
      <x:c r="J28" s="32">
        <x:v>46122</x:v>
      </x:c>
      <x:c r="K28" s="22" t="s">
        <x:v>21</x:v>
      </x:c>
      <x:c r="XFB28" s="1"/>
    </x:row>
    <x:row r="29" s="22" customFormat="1" hidden="1">
      <x:c r="A29" s="52" t="s">
        <x:v>123</x:v>
      </x:c>
      <x:c r="B29" s="32">
        <x:v>46113</x:v>
      </x:c>
      <x:c r="C29" s="45" t="str">
        <x:f t="shared" si="0"/>
        <x:v>ABRIL</x:v>
      </x:c>
      <x:c r="D29" s="34" t="s">
        <x:v>93</x:v>
      </x:c>
      <x:c r="E29" s="34" t="s">
        <x:v>81</x:v>
      </x:c>
      <x:c r="F29" s="34" t="s">
        <x:v>68</x:v>
      </x:c>
      <x:c r="G29" s="49">
        <x:v>-400</x:v>
      </x:c>
      <x:c r="H29" s="48" t="s">
        <x:v>82</x:v>
      </x:c>
      <x:c r="I29" s="33" t="s">
        <x:v>83</x:v>
      </x:c>
      <x:c r="J29" s="32">
        <x:v>46121</x:v>
      </x:c>
      <x:c r="K29" s="22" t="s">
        <x:v>21</x:v>
      </x:c>
      <x:c r="XFB29" s="1"/>
    </x:row>
    <x:row r="30" s="22" customFormat="1" hidden="1">
      <x:c r="A30" s="52" t="s">
        <x:v>88</x:v>
      </x:c>
      <x:c r="B30" s="32">
        <x:v>46113</x:v>
      </x:c>
      <x:c r="C30" s="45" t="str">
        <x:f t="shared" si="0"/>
        <x:v>ABRIL</x:v>
      </x:c>
      <x:c r="D30" s="34" t="s">
        <x:v>89</x:v>
      </x:c>
      <x:c r="E30" s="34" t="s">
        <x:v>90</x:v>
      </x:c>
      <x:c r="F30" s="34" t="s">
        <x:v>68</x:v>
      </x:c>
      <x:c r="G30" s="49">
        <x:v>11468.7</x:v>
      </x:c>
      <x:c r="H30" s="48" t="s">
        <x:v>91</x:v>
      </x:c>
      <x:c r="I30" s="33" t="s">
        <x:v>83</x:v>
      </x:c>
      <x:c r="J30" s="32">
        <x:v>46121</x:v>
      </x:c>
      <x:c r="K30" s="22" t="s">
        <x:v>21</x:v>
      </x:c>
      <x:c r="XFB30" s="1"/>
    </x:row>
    <x:row r="31" s="22" customFormat="1" hidden="1">
      <x:c r="A31" s="34" t="s">
        <x:v>124</x:v>
      </x:c>
      <x:c r="B31" s="32">
        <x:v>46113</x:v>
      </x:c>
      <x:c r="C31" s="45" t="str">
        <x:f t="shared" si="0"/>
        <x:v>ABRIL</x:v>
      </x:c>
      <x:c r="D31" s="34" t="s">
        <x:v>85</x:v>
      </x:c>
      <x:c r="E31" s="34" t="s">
        <x:v>81</x:v>
      </x:c>
      <x:c r="F31" s="34" t="s">
        <x:v>68</x:v>
      </x:c>
      <x:c r="G31" s="49">
        <x:v>-200</x:v>
      </x:c>
      <x:c r="H31" s="48" t="s">
        <x:v>82</x:v>
      </x:c>
      <x:c r="I31" s="33" t="s">
        <x:v>83</x:v>
      </x:c>
      <x:c r="J31" s="32">
        <x:v>46119</x:v>
      </x:c>
      <x:c r="K31" s="22" t="s">
        <x:v>21</x:v>
      </x:c>
      <x:c r="XFB31" s="1"/>
    </x:row>
    <x:row r="32" s="22" customFormat="1" hidden="1">
      <x:c r="A32" s="52" t="s">
        <x:v>125</x:v>
      </x:c>
      <x:c r="B32" s="32">
        <x:v>46113</x:v>
      </x:c>
      <x:c r="C32" s="45" t="str">
        <x:f t="shared" si="0"/>
        <x:v>ABRIL</x:v>
      </x:c>
      <x:c r="D32" s="34" t="s">
        <x:v>93</x:v>
      </x:c>
      <x:c r="E32" s="34" t="s">
        <x:v>81</x:v>
      </x:c>
      <x:c r="F32" s="34" t="s">
        <x:v>68</x:v>
      </x:c>
      <x:c r="G32" s="49">
        <x:v>-400</x:v>
      </x:c>
      <x:c r="H32" s="48" t="s">
        <x:v>82</x:v>
      </x:c>
      <x:c r="I32" s="33" t="s">
        <x:v>83</x:v>
      </x:c>
      <x:c r="J32" s="32">
        <x:v>46119</x:v>
      </x:c>
      <x:c r="K32" s="22" t="s">
        <x:v>21</x:v>
      </x:c>
      <x:c r="XFB32" s="1"/>
    </x:row>
    <x:row r="33" s="22" customFormat="1" hidden="1">
      <x:c r="A33" s="52" t="s">
        <x:v>121</x:v>
      </x:c>
      <x:c r="B33" s="32">
        <x:v>46113</x:v>
      </x:c>
      <x:c r="C33" s="45" t="str">
        <x:f t="shared" si="0"/>
        <x:v>ABRIL</x:v>
      </x:c>
      <x:c r="D33" s="34" t="s">
        <x:v>89</x:v>
      </x:c>
      <x:c r="E33" s="34" t="s">
        <x:v>90</x:v>
      </x:c>
      <x:c r="F33" s="34" t="s">
        <x:v>68</x:v>
      </x:c>
      <x:c r="G33" s="49">
        <x:v>11443.7</x:v>
      </x:c>
      <x:c r="H33" s="48" t="s">
        <x:v>91</x:v>
      </x:c>
      <x:c r="I33" s="33" t="s">
        <x:v>83</x:v>
      </x:c>
      <x:c r="J33" s="32">
        <x:v>46119</x:v>
      </x:c>
      <x:c r="K33" s="22" t="s">
        <x:v>21</x:v>
      </x:c>
      <x:c r="XFB33" s="1"/>
    </x:row>
    <x:row r="34" s="22" customFormat="1" hidden="1">
      <x:c r="A34" s="34" t="s">
        <x:v>124</x:v>
      </x:c>
      <x:c r="B34" s="32">
        <x:v>46113</x:v>
      </x:c>
      <x:c r="C34" s="45" t="str">
        <x:f t="shared" si="0"/>
        <x:v>ABRIL</x:v>
      </x:c>
      <x:c r="D34" s="34" t="s">
        <x:v>85</x:v>
      </x:c>
      <x:c r="E34" s="34" t="s">
        <x:v>81</x:v>
      </x:c>
      <x:c r="F34" s="34" t="s">
        <x:v>68</x:v>
      </x:c>
      <x:c r="G34" s="49">
        <x:v>-200</x:v>
      </x:c>
      <x:c r="H34" s="48" t="s">
        <x:v>82</x:v>
      </x:c>
      <x:c r="I34" s="33" t="s">
        <x:v>83</x:v>
      </x:c>
      <x:c r="J34" s="32">
        <x:v>46116</x:v>
      </x:c>
      <x:c r="K34" s="22" t="s">
        <x:v>21</x:v>
      </x:c>
      <x:c r="XFB34" s="1"/>
    </x:row>
    <x:row r="35" s="22" customFormat="1" hidden="1">
      <x:c r="A35" s="52" t="s">
        <x:v>88</x:v>
      </x:c>
      <x:c r="B35" s="32">
        <x:v>46113</x:v>
      </x:c>
      <x:c r="C35" s="45" t="str">
        <x:f t="shared" si="0"/>
        <x:v>ABRIL</x:v>
      </x:c>
      <x:c r="D35" s="34" t="s">
        <x:v>89</x:v>
      </x:c>
      <x:c r="E35" s="34" t="s">
        <x:v>90</x:v>
      </x:c>
      <x:c r="F35" s="34" t="s">
        <x:v>68</x:v>
      </x:c>
      <x:c r="G35" s="49">
        <x:v>10312.5</x:v>
      </x:c>
      <x:c r="H35" s="48" t="s">
        <x:v>91</x:v>
      </x:c>
      <x:c r="I35" s="33" t="s">
        <x:v>83</x:v>
      </x:c>
      <x:c r="J35" s="32">
        <x:v>46114</x:v>
      </x:c>
      <x:c r="K35" s="22" t="s">
        <x:v>21</x:v>
      </x:c>
      <x:c r="XFB35" s="1"/>
    </x:row>
    <x:row r="36" s="22" customFormat="1" hidden="1">
      <x:c r="A36" s="52" t="s">
        <x:v>126</x:v>
      </x:c>
      <x:c r="B36" s="32">
        <x:v>46113</x:v>
      </x:c>
      <x:c r="C36" s="45" t="str">
        <x:f t="shared" si="0"/>
        <x:v>ABRIL</x:v>
      </x:c>
      <x:c r="D36" s="34" t="s">
        <x:v>93</x:v>
      </x:c>
      <x:c r="E36" s="34" t="s">
        <x:v>81</x:v>
      </x:c>
      <x:c r="F36" s="34" t="s">
        <x:v>68</x:v>
      </x:c>
      <x:c r="G36" s="49">
        <x:v>-400</x:v>
      </x:c>
      <x:c r="H36" s="48" t="s">
        <x:v>82</x:v>
      </x:c>
      <x:c r="I36" s="33" t="s">
        <x:v>83</x:v>
      </x:c>
      <x:c r="J36" s="32">
        <x:v>46114</x:v>
      </x:c>
      <x:c r="K36" s="22" t="s">
        <x:v>21</x:v>
      </x:c>
      <x:c r="XFB36" s="1"/>
    </x:row>
    <x:row r="37" s="22" customFormat="1" hidden="1">
      <x:c r="A37" s="51" t="s">
        <x:v>79</x:v>
      </x:c>
      <x:c r="B37" s="32">
        <x:v>46082</x:v>
      </x:c>
      <x:c r="C37" s="45" t="str">
        <x:f t="shared" si="0"/>
        <x:v>MARÇO</x:v>
      </x:c>
      <x:c r="D37" s="34" t="s">
        <x:v>80</x:v>
      </x:c>
      <x:c r="E37" s="34" t="s">
        <x:v>81</x:v>
      </x:c>
      <x:c r="F37" s="34" t="s">
        <x:v>68</x:v>
      </x:c>
      <x:c r="G37" s="49">
        <x:v>-35</x:v>
      </x:c>
      <x:c r="H37" s="48" t="s">
        <x:v>82</x:v>
      </x:c>
      <x:c r="I37" s="33" t="s">
        <x:v>83</x:v>
      </x:c>
      <x:c r="J37" s="32">
        <x:v>46112</x:v>
      </x:c>
      <x:c r="K37" s="22" t="s">
        <x:v>21</x:v>
      </x:c>
      <x:c r="XFB37" s="1"/>
    </x:row>
    <x:row r="38" s="22" customFormat="1" hidden="1">
      <x:c r="A38" s="51" t="s">
        <x:v>88</x:v>
      </x:c>
      <x:c r="B38" s="32">
        <x:v>46082</x:v>
      </x:c>
      <x:c r="C38" s="45" t="str">
        <x:f t="shared" si="0"/>
        <x:v>MARÇO</x:v>
      </x:c>
      <x:c r="D38" s="34" t="s">
        <x:v>127</x:v>
      </x:c>
      <x:c r="E38" s="34" t="s">
        <x:v>90</x:v>
      </x:c>
      <x:c r="F38" s="34" t="s">
        <x:v>68</x:v>
      </x:c>
      <x:c r="G38" s="49">
        <x:v>9595.7000000000007</x:v>
      </x:c>
      <x:c r="H38" s="48" t="s">
        <x:v>91</x:v>
      </x:c>
      <x:c r="I38" s="33" t="s">
        <x:v>83</x:v>
      </x:c>
      <x:c r="J38" s="32">
        <x:v>46112</x:v>
      </x:c>
      <x:c r="K38" s="22" t="s">
        <x:v>21</x:v>
      </x:c>
      <x:c r="XFB38" s="1"/>
    </x:row>
    <x:row r="39" s="22" customFormat="1" hidden="1">
      <x:c r="A39" s="34" t="s">
        <x:v>92</x:v>
      </x:c>
      <x:c r="B39" s="32">
        <x:v>46082</x:v>
      </x:c>
      <x:c r="C39" s="45" t="str">
        <x:f t="shared" si="0"/>
        <x:v>MARÇO</x:v>
      </x:c>
      <x:c r="D39" s="34" t="s">
        <x:v>93</x:v>
      </x:c>
      <x:c r="E39" s="34" t="s">
        <x:v>81</x:v>
      </x:c>
      <x:c r="F39" s="34" t="s">
        <x:v>68</x:v>
      </x:c>
      <x:c r="G39" s="49">
        <x:v>-400</x:v>
      </x:c>
      <x:c r="H39" s="48" t="s">
        <x:v>82</x:v>
      </x:c>
      <x:c r="I39" s="33" t="s">
        <x:v>83</x:v>
      </x:c>
      <x:c r="J39" s="32">
        <x:v>46112</x:v>
      </x:c>
      <x:c r="K39" s="22" t="s">
        <x:v>21</x:v>
      </x:c>
      <x:c r="XFB39" s="1"/>
    </x:row>
    <x:row r="40" s="22" customFormat="1" hidden="1">
      <x:c r="A40" s="34" t="s">
        <x:v>95</x:v>
      </x:c>
      <x:c r="B40" s="32">
        <x:v>46082</x:v>
      </x:c>
      <x:c r="C40" s="45" t="str">
        <x:f t="shared" si="0"/>
        <x:v>MARÇO</x:v>
      </x:c>
      <x:c r="D40" s="34" t="s">
        <x:v>93</x:v>
      </x:c>
      <x:c r="E40" s="34" t="s">
        <x:v>81</x:v>
      </x:c>
      <x:c r="F40" s="34" t="s">
        <x:v>68</x:v>
      </x:c>
      <x:c r="G40" s="49">
        <x:v>-400</x:v>
      </x:c>
      <x:c r="H40" s="48" t="s">
        <x:v>82</x:v>
      </x:c>
      <x:c r="I40" s="33" t="s">
        <x:v>83</x:v>
      </x:c>
      <x:c r="J40" s="32">
        <x:v>46112</x:v>
      </x:c>
      <x:c r="K40" s="22" t="s">
        <x:v>21</x:v>
      </x:c>
      <x:c r="XFB40" s="1"/>
    </x:row>
    <x:row r="41" s="22" customFormat="1" hidden="1">
      <x:c r="A41" s="34" t="s">
        <x:v>96</x:v>
      </x:c>
      <x:c r="B41" s="32">
        <x:v>46082</x:v>
      </x:c>
      <x:c r="C41" s="45" t="str">
        <x:f t="shared" si="0"/>
        <x:v>MARÇO</x:v>
      </x:c>
      <x:c r="D41" s="34" t="s">
        <x:v>93</x:v>
      </x:c>
      <x:c r="E41" s="34" t="s">
        <x:v>81</x:v>
      </x:c>
      <x:c r="F41" s="34" t="s">
        <x:v>68</x:v>
      </x:c>
      <x:c r="G41" s="49">
        <x:v>-400</x:v>
      </x:c>
      <x:c r="H41" s="48" t="s">
        <x:v>82</x:v>
      </x:c>
      <x:c r="I41" s="33" t="s">
        <x:v>83</x:v>
      </x:c>
      <x:c r="J41" s="32">
        <x:v>46111</x:v>
      </x:c>
      <x:c r="K41" s="22" t="s">
        <x:v>21</x:v>
      </x:c>
      <x:c r="XFB41" s="1"/>
    </x:row>
    <x:row r="42" s="22" customFormat="1" hidden="1">
      <x:c r="A42" s="34" t="s">
        <x:v>87</x:v>
      </x:c>
      <x:c r="B42" s="32">
        <x:v>46082</x:v>
      </x:c>
      <x:c r="C42" s="45" t="str">
        <x:f t="shared" si="0"/>
        <x:v>MARÇO</x:v>
      </x:c>
      <x:c r="D42" s="34" t="s">
        <x:v>85</x:v>
      </x:c>
      <x:c r="E42" s="34" t="s">
        <x:v>87</x:v>
      </x:c>
      <x:c r="F42" s="34" t="s">
        <x:v>68</x:v>
      </x:c>
      <x:c r="G42" s="49">
        <x:v>-15710.49</x:v>
      </x:c>
      <x:c r="H42" s="48" t="s">
        <x:v>82</x:v>
      </x:c>
      <x:c r="I42" s="33" t="s">
        <x:v>83</x:v>
      </x:c>
      <x:c r="J42" s="32">
        <x:v>46111</x:v>
      </x:c>
      <x:c r="K42" s="22" t="s">
        <x:v>21</x:v>
      </x:c>
      <x:c r="XFB42" s="1"/>
    </x:row>
    <x:row r="43" s="22" customFormat="1" hidden="1">
      <x:c r="A43" s="26" t="s">
        <x:v>128</x:v>
      </x:c>
      <x:c r="B43" s="32">
        <x:v>46082</x:v>
      </x:c>
      <x:c r="C43" s="45" t="str">
        <x:f t="shared" si="0"/>
        <x:v>MARÇO</x:v>
      </x:c>
      <x:c r="D43" s="34" t="s">
        <x:v>127</x:v>
      </x:c>
      <x:c r="E43" s="34" t="s">
        <x:v>90</x:v>
      </x:c>
      <x:c r="F43" s="34" t="s">
        <x:v>68</x:v>
      </x:c>
      <x:c r="G43" s="49">
        <x:v>9399.5</x:v>
      </x:c>
      <x:c r="H43" s="48" t="s">
        <x:v>91</x:v>
      </x:c>
      <x:c r="I43" s="33" t="s">
        <x:v>83</x:v>
      </x:c>
      <x:c r="J43" s="32">
        <x:v>46110</x:v>
      </x:c>
      <x:c r="K43" s="22" t="s">
        <x:v>21</x:v>
      </x:c>
      <x:c r="XFB43" s="1"/>
    </x:row>
    <x:row r="44" s="22" customFormat="1" hidden="1">
      <x:c r="A44" s="41" t="s">
        <x:v>129</x:v>
      </x:c>
      <x:c r="B44" s="32">
        <x:v>46082</x:v>
      </x:c>
      <x:c r="C44" s="45" t="str">
        <x:f t="shared" si="0"/>
        <x:v>MARÇO</x:v>
      </x:c>
      <x:c r="D44" s="34" t="s">
        <x:v>127</x:v>
      </x:c>
      <x:c r="E44" s="34" t="s">
        <x:v>90</x:v>
      </x:c>
      <x:c r="F44" s="34" t="s">
        <x:v>68</x:v>
      </x:c>
      <x:c r="G44" s="49">
        <x:v>9320.4699999999993</x:v>
      </x:c>
      <x:c r="H44" s="48" t="s">
        <x:v>91</x:v>
      </x:c>
      <x:c r="I44" s="33" t="s">
        <x:v>83</x:v>
      </x:c>
      <x:c r="J44" s="32">
        <x:v>46108</x:v>
      </x:c>
      <x:c r="K44" s="22" t="s">
        <x:v>21</x:v>
      </x:c>
      <x:c r="XFB44" s="1"/>
    </x:row>
    <x:row r="45" s="22" customFormat="1" hidden="1">
      <x:c r="A45" s="34" t="s">
        <x:v>88</x:v>
      </x:c>
      <x:c r="B45" s="32">
        <x:v>46082</x:v>
      </x:c>
      <x:c r="C45" s="45" t="str">
        <x:f t="shared" si="0"/>
        <x:v>MARÇO</x:v>
      </x:c>
      <x:c r="D45" s="34" t="s">
        <x:v>127</x:v>
      </x:c>
      <x:c r="E45" s="34" t="s">
        <x:v>90</x:v>
      </x:c>
      <x:c r="F45" s="34" t="s">
        <x:v>68</x:v>
      </x:c>
      <x:c r="G45" s="49">
        <x:v>9547.14</x:v>
      </x:c>
      <x:c r="H45" s="48" t="s">
        <x:v>91</x:v>
      </x:c>
      <x:c r="I45" s="33" t="s">
        <x:v>83</x:v>
      </x:c>
      <x:c r="J45" s="32">
        <x:v>46105</x:v>
      </x:c>
      <x:c r="K45" s="22" t="s">
        <x:v>21</x:v>
      </x:c>
      <x:c r="XFB45" s="1"/>
    </x:row>
    <x:row r="46" s="22" customFormat="1" hidden="1">
      <x:c r="A46" s="34" t="s">
        <x:v>98</x:v>
      </x:c>
      <x:c r="B46" s="32">
        <x:v>46082</x:v>
      </x:c>
      <x:c r="C46" s="45" t="str">
        <x:f t="shared" si="0"/>
        <x:v>MARÇO</x:v>
      </x:c>
      <x:c r="D46" s="34" t="s">
        <x:v>93</x:v>
      </x:c>
      <x:c r="E46" s="34" t="s">
        <x:v>81</x:v>
      </x:c>
      <x:c r="F46" s="34" t="s">
        <x:v>68</x:v>
      </x:c>
      <x:c r="G46" s="49">
        <x:v>-400</x:v>
      </x:c>
      <x:c r="H46" s="48" t="s">
        <x:v>82</x:v>
      </x:c>
      <x:c r="I46" s="33" t="s">
        <x:v>83</x:v>
      </x:c>
      <x:c r="J46" s="32">
        <x:v>46105</x:v>
      </x:c>
      <x:c r="K46" s="22" t="s">
        <x:v>21</x:v>
      </x:c>
      <x:c r="XFB46" s="1"/>
    </x:row>
    <x:row r="47" s="22" customFormat="1" hidden="1">
      <x:c r="A47" s="34" t="s">
        <x:v>100</x:v>
      </x:c>
      <x:c r="B47" s="32">
        <x:v>46082</x:v>
      </x:c>
      <x:c r="C47" s="45" t="str">
        <x:f t="shared" si="0"/>
        <x:v>MARÇO</x:v>
      </x:c>
      <x:c r="D47" s="34" t="s">
        <x:v>93</x:v>
      </x:c>
      <x:c r="E47" s="34" t="s">
        <x:v>81</x:v>
      </x:c>
      <x:c r="F47" s="34" t="s">
        <x:v>68</x:v>
      </x:c>
      <x:c r="G47" s="49">
        <x:v>-400</x:v>
      </x:c>
      <x:c r="H47" s="48" t="s">
        <x:v>82</x:v>
      </x:c>
      <x:c r="I47" s="33" t="s">
        <x:v>83</x:v>
      </x:c>
      <x:c r="J47" s="32">
        <x:v>46105</x:v>
      </x:c>
      <x:c r="K47" s="22" t="s">
        <x:v>21</x:v>
      </x:c>
      <x:c r="XFB47" s="1"/>
    </x:row>
    <x:row r="48" s="22" customFormat="1" hidden="1">
      <x:c r="A48" s="50" t="s">
        <x:v>130</x:v>
      </x:c>
      <x:c r="B48" s="32">
        <x:v>46082</x:v>
      </x:c>
      <x:c r="C48" s="45" t="str">
        <x:f t="shared" si="0"/>
        <x:v>MARÇO</x:v>
      </x:c>
      <x:c r="D48" s="34" t="s">
        <x:v>127</x:v>
      </x:c>
      <x:c r="E48" s="34" t="s">
        <x:v>90</x:v>
      </x:c>
      <x:c r="F48" s="34" t="s">
        <x:v>68</x:v>
      </x:c>
      <x:c r="G48" s="49">
        <x:v>9127.5</x:v>
      </x:c>
      <x:c r="H48" s="48" t="s">
        <x:v>91</x:v>
      </x:c>
      <x:c r="I48" s="33" t="s">
        <x:v>83</x:v>
      </x:c>
      <x:c r="J48" s="32">
        <x:v>46102</x:v>
      </x:c>
      <x:c r="K48" s="22" t="s">
        <x:v>21</x:v>
      </x:c>
      <x:c r="XFB48" s="1"/>
    </x:row>
    <x:row r="49" s="22" customFormat="1" hidden="1">
      <x:c r="A49" s="34" t="s">
        <x:v>105</x:v>
      </x:c>
      <x:c r="B49" s="32">
        <x:v>46082</x:v>
      </x:c>
      <x:c r="C49" s="45" t="str">
        <x:f t="shared" si="0"/>
        <x:v>MARÇO</x:v>
      </x:c>
      <x:c r="D49" s="34" t="s">
        <x:v>106</x:v>
      </x:c>
      <x:c r="E49" s="34" t="s">
        <x:v>107</x:v>
      </x:c>
      <x:c r="F49" s="34" t="s">
        <x:v>68</x:v>
      </x:c>
      <x:c r="G49" s="49">
        <x:v>-65</x:v>
      </x:c>
      <x:c r="H49" s="48" t="s">
        <x:v>82</x:v>
      </x:c>
      <x:c r="I49" s="33" t="s">
        <x:v>83</x:v>
      </x:c>
      <x:c r="J49" s="32">
        <x:v>46099</x:v>
      </x:c>
      <x:c r="K49" s="22" t="s">
        <x:v>21</x:v>
      </x:c>
      <x:c r="XFB49" s="1"/>
    </x:row>
    <x:row r="50" s="22" customFormat="1" hidden="1">
      <x:c r="A50" s="34" t="s">
        <x:v>108</x:v>
      </x:c>
      <x:c r="B50" s="32">
        <x:v>46082</x:v>
      </x:c>
      <x:c r="C50" s="45" t="str">
        <x:f t="shared" si="0"/>
        <x:v>MARÇO</x:v>
      </x:c>
      <x:c r="D50" s="34" t="s">
        <x:v>93</x:v>
      </x:c>
      <x:c r="E50" s="34" t="s">
        <x:v>81</x:v>
      </x:c>
      <x:c r="F50" s="34" t="s">
        <x:v>68</x:v>
      </x:c>
      <x:c r="G50" s="49">
        <x:v>-400</x:v>
      </x:c>
      <x:c r="H50" s="48" t="s">
        <x:v>82</x:v>
      </x:c>
      <x:c r="I50" s="33" t="s">
        <x:v>83</x:v>
      </x:c>
      <x:c r="J50" s="32">
        <x:v>45002</x:v>
      </x:c>
      <x:c r="K50" s="22" t="s">
        <x:v>21</x:v>
      </x:c>
      <x:c r="XFB50" s="1"/>
    </x:row>
    <x:row r="51" s="22" customFormat="1" hidden="1">
      <x:c r="A51" s="34" t="s">
        <x:v>88</x:v>
      </x:c>
      <x:c r="B51" s="32">
        <x:v>46082</x:v>
      </x:c>
      <x:c r="C51" s="45" t="str">
        <x:f t="shared" si="0"/>
        <x:v>MARÇO</x:v>
      </x:c>
      <x:c r="D51" s="34" t="s">
        <x:v>127</x:v>
      </x:c>
      <x:c r="E51" s="34" t="s">
        <x:v>90</x:v>
      </x:c>
      <x:c r="F51" s="34" t="s">
        <x:v>68</x:v>
      </x:c>
      <x:c r="G51" s="49">
        <x:v>9097.51</x:v>
      </x:c>
      <x:c r="H51" s="48" t="s">
        <x:v>91</x:v>
      </x:c>
      <x:c r="I51" s="33" t="s">
        <x:v>83</x:v>
      </x:c>
      <x:c r="J51" s="32">
        <x:v>46098</x:v>
      </x:c>
      <x:c r="K51" s="22" t="s">
        <x:v>21</x:v>
      </x:c>
      <x:c r="XFB51" s="1"/>
    </x:row>
    <x:row r="52" s="22" customFormat="1" hidden="1">
      <x:c r="A52" s="34" t="s">
        <x:v>87</x:v>
      </x:c>
      <x:c r="B52" s="32">
        <x:v>46082</x:v>
      </x:c>
      <x:c r="C52" s="45" t="str">
        <x:f t="shared" si="0"/>
        <x:v>MARÇO</x:v>
      </x:c>
      <x:c r="D52" s="34" t="s">
        <x:v>85</x:v>
      </x:c>
      <x:c r="E52" s="34" t="s">
        <x:v>87</x:v>
      </x:c>
      <x:c r="F52" s="34" t="s">
        <x:v>68</x:v>
      </x:c>
      <x:c r="G52" s="49">
        <x:v>-10145.24</x:v>
      </x:c>
      <x:c r="H52" s="48" t="s">
        <x:v>82</x:v>
      </x:c>
      <x:c r="I52" s="33" t="s">
        <x:v>83</x:v>
      </x:c>
      <x:c r="J52" s="32">
        <x:v>46097</x:v>
      </x:c>
      <x:c r="K52" s="22" t="s">
        <x:v>21</x:v>
      </x:c>
      <x:c r="XFB52" s="1"/>
    </x:row>
    <x:row r="53" s="22" customFormat="1" hidden="1">
      <x:c r="A53" s="34" t="s">
        <x:v>118</x:v>
      </x:c>
      <x:c r="B53" s="32">
        <x:v>46082</x:v>
      </x:c>
      <x:c r="C53" s="45" t="str">
        <x:f t="shared" si="0"/>
        <x:v>MARÇO</x:v>
      </x:c>
      <x:c r="D53" s="34" t="s">
        <x:v>85</x:v>
      </x:c>
      <x:c r="E53" s="34" t="s">
        <x:v>118</x:v>
      </x:c>
      <x:c r="F53" s="34" t="s">
        <x:v>68</x:v>
      </x:c>
      <x:c r="G53" s="49">
        <x:v>-57</x:v>
      </x:c>
      <x:c r="H53" s="48" t="s">
        <x:v>82</x:v>
      </x:c>
      <x:c r="I53" s="33" t="s">
        <x:v>83</x:v>
      </x:c>
      <x:c r="J53" s="32">
        <x:v>46097</x:v>
      </x:c>
      <x:c r="K53" s="22" t="s">
        <x:v>21</x:v>
      </x:c>
      <x:c r="XFB53" s="1"/>
    </x:row>
    <x:row r="54" s="22" customFormat="1" hidden="1">
      <x:c r="A54" s="34" t="s">
        <x:v>131</x:v>
      </x:c>
      <x:c r="B54" s="32">
        <x:v>46082</x:v>
      </x:c>
      <x:c r="C54" s="45" t="str">
        <x:f t="shared" si="0"/>
        <x:v>MARÇO</x:v>
      </x:c>
      <x:c r="D54" s="34" t="s">
        <x:v>132</x:v>
      </x:c>
      <x:c r="E54" s="34" t="s">
        <x:v>133</x:v>
      </x:c>
      <x:c r="F54" s="34" t="s">
        <x:v>68</x:v>
      </x:c>
      <x:c r="G54" s="49">
        <x:v>-2397.86</x:v>
      </x:c>
      <x:c r="H54" s="48" t="s">
        <x:v>82</x:v>
      </x:c>
      <x:c r="I54" s="33" t="s">
        <x:v>83</x:v>
      </x:c>
      <x:c r="J54" s="32">
        <x:v>46111</x:v>
      </x:c>
      <x:c r="K54" s="22" t="s">
        <x:v>21</x:v>
      </x:c>
      <x:c r="XFB54" s="1"/>
    </x:row>
    <x:row r="55" s="22" customFormat="1" hidden="1">
      <x:c r="A55" s="34" t="s">
        <x:v>79</x:v>
      </x:c>
      <x:c r="B55" s="32">
        <x:v>46054</x:v>
      </x:c>
      <x:c r="C55" s="45" t="str">
        <x:f t="shared" si="0"/>
        <x:v>FEVEREIRO</x:v>
      </x:c>
      <x:c r="D55" s="34" t="s">
        <x:v>80</x:v>
      </x:c>
      <x:c r="E55" s="34" t="s">
        <x:v>134</x:v>
      </x:c>
      <x:c r="F55" s="34" t="s">
        <x:v>68</x:v>
      </x:c>
      <x:c r="G55" s="49">
        <x:v>-35.090000000000003</x:v>
      </x:c>
      <x:c r="H55" s="48" t="s">
        <x:v>82</x:v>
      </x:c>
      <x:c r="I55" s="33" t="s">
        <x:v>83</x:v>
      </x:c>
      <x:c r="J55" s="32">
        <x:v>46097</x:v>
      </x:c>
      <x:c r="K55" s="22" t="s">
        <x:v>21</x:v>
      </x:c>
      <x:c r="XFB55" s="1"/>
    </x:row>
    <x:row r="56" s="22" customFormat="1" hidden="1">
      <x:c r="A56" s="34" t="s">
        <x:v>101</x:v>
      </x:c>
      <x:c r="B56" s="32">
        <x:v>46082</x:v>
      </x:c>
      <x:c r="C56" s="45" t="str">
        <x:f t="shared" si="0"/>
        <x:v>MARÇO</x:v>
      </x:c>
      <x:c r="D56" s="34" t="s">
        <x:v>102</x:v>
      </x:c>
      <x:c r="E56" s="34" t="s">
        <x:v>103</x:v>
      </x:c>
      <x:c r="F56" s="34" t="s">
        <x:v>68</x:v>
      </x:c>
      <x:c r="G56" s="49">
        <x:v>-1931.28</x:v>
      </x:c>
      <x:c r="H56" s="48" t="s">
        <x:v>82</x:v>
      </x:c>
      <x:c r="I56" s="33" t="s">
        <x:v>83</x:v>
      </x:c>
      <x:c r="J56" s="32">
        <x:v>46096</x:v>
      </x:c>
      <x:c r="K56" s="22" t="s">
        <x:v>21</x:v>
      </x:c>
      <x:c r="XFB56" s="1"/>
    </x:row>
    <x:row r="57" s="22" customFormat="1" hidden="1">
      <x:c r="A57" s="34" t="s">
        <x:v>104</x:v>
      </x:c>
      <x:c r="B57" s="32">
        <x:v>46082</x:v>
      </x:c>
      <x:c r="C57" s="45" t="str">
        <x:f t="shared" si="0"/>
        <x:v>MARÇO</x:v>
      </x:c>
      <x:c r="D57" s="34" t="s">
        <x:v>102</x:v>
      </x:c>
      <x:c r="E57" s="34" t="s">
        <x:v>103</x:v>
      </x:c>
      <x:c r="F57" s="34" t="s">
        <x:v>68</x:v>
      </x:c>
      <x:c r="G57" s="49">
        <x:v>-109.59</x:v>
      </x:c>
      <x:c r="H57" s="48" t="s">
        <x:v>82</x:v>
      </x:c>
      <x:c r="I57" s="33" t="s">
        <x:v>83</x:v>
      </x:c>
      <x:c r="J57" s="32">
        <x:v>46096</x:v>
      </x:c>
      <x:c r="K57" s="22" t="s">
        <x:v>21</x:v>
      </x:c>
      <x:c r="XFB57" s="1"/>
    </x:row>
    <x:row r="58" s="22" customFormat="1" hidden="1">
      <x:c r="A58" s="34" t="s">
        <x:v>122</x:v>
      </x:c>
      <x:c r="B58" s="32">
        <x:v>46082</x:v>
      </x:c>
      <x:c r="C58" s="45" t="str">
        <x:f t="shared" si="0"/>
        <x:v>MARÇO</x:v>
      </x:c>
      <x:c r="D58" s="34" t="s">
        <x:v>93</x:v>
      </x:c>
      <x:c r="E58" s="34" t="s">
        <x:v>81</x:v>
      </x:c>
      <x:c r="F58" s="34" t="s">
        <x:v>68</x:v>
      </x:c>
      <x:c r="G58" s="49">
        <x:v>-400</x:v>
      </x:c>
      <x:c r="H58" s="48" t="s">
        <x:v>82</x:v>
      </x:c>
      <x:c r="I58" s="33" t="s">
        <x:v>83</x:v>
      </x:c>
      <x:c r="J58" s="32">
        <x:v>46094</x:v>
      </x:c>
      <x:c r="K58" s="22" t="s">
        <x:v>21</x:v>
      </x:c>
      <x:c r="XFB58" s="1"/>
    </x:row>
    <x:row r="59" s="22" customFormat="1" hidden="1">
      <x:c r="A59" s="34" t="s">
        <x:v>135</x:v>
      </x:c>
      <x:c r="B59" s="32">
        <x:v>46082</x:v>
      </x:c>
      <x:c r="C59" s="45" t="str">
        <x:f t="shared" si="0"/>
        <x:v>MARÇO</x:v>
      </x:c>
      <x:c r="D59" s="34" t="s">
        <x:v>127</x:v>
      </x:c>
      <x:c r="E59" s="34" t="s">
        <x:v>90</x:v>
      </x:c>
      <x:c r="F59" s="34" t="s">
        <x:v>68</x:v>
      </x:c>
      <x:c r="G59" s="49">
        <x:v>9127.5</x:v>
      </x:c>
      <x:c r="H59" s="48" t="s">
        <x:v>91</x:v>
      </x:c>
      <x:c r="I59" s="33" t="s">
        <x:v>83</x:v>
      </x:c>
      <x:c r="J59" s="32">
        <x:v>46094</x:v>
      </x:c>
      <x:c r="K59" s="22" t="s">
        <x:v>21</x:v>
      </x:c>
      <x:c r="XFB59" s="1"/>
    </x:row>
    <x:row r="60" s="22" customFormat="1" hidden="1">
      <x:c r="A60" s="34" t="s">
        <x:v>136</x:v>
      </x:c>
      <x:c r="B60" s="32">
        <x:v>46082</x:v>
      </x:c>
      <x:c r="C60" s="45" t="str">
        <x:f t="shared" si="0"/>
        <x:v>MARÇO</x:v>
      </x:c>
      <x:c r="D60" s="34" t="s">
        <x:v>85</x:v>
      </x:c>
      <x:c r="E60" s="34" t="s">
        <x:v>90</x:v>
      </x:c>
      <x:c r="F60" s="34" t="s">
        <x:v>68</x:v>
      </x:c>
      <x:c r="G60" s="49">
        <x:v>-434</x:v>
      </x:c>
      <x:c r="H60" s="48" t="s">
        <x:v>82</x:v>
      </x:c>
      <x:c r="I60" s="33" t="s">
        <x:v>83</x:v>
      </x:c>
      <x:c r="J60" s="32">
        <x:v>46093</x:v>
      </x:c>
      <x:c r="K60" s="22" t="s">
        <x:v>21</x:v>
      </x:c>
      <x:c r="XFB60" s="1"/>
    </x:row>
    <x:row r="61" s="22" customFormat="1" hidden="1">
      <x:c r="A61" s="34" t="s">
        <x:v>137</x:v>
      </x:c>
      <x:c r="B61" s="32">
        <x:v>46082</x:v>
      </x:c>
      <x:c r="C61" s="45" t="str">
        <x:f t="shared" si="0"/>
        <x:v>MARÇO</x:v>
      </x:c>
      <x:c r="D61" s="34" t="s">
        <x:v>138</x:v>
      </x:c>
      <x:c r="E61" s="34" t="s">
        <x:v>139</x:v>
      </x:c>
      <x:c r="F61" s="34" t="s">
        <x:v>68</x:v>
      </x:c>
      <x:c r="G61" s="49">
        <x:v>-8505.43</x:v>
      </x:c>
      <x:c r="H61" s="48" t="s">
        <x:v>82</x:v>
      </x:c>
      <x:c r="I61" s="33" t="s">
        <x:v>83</x:v>
      </x:c>
      <x:c r="J61" s="32">
        <x:v>46093</x:v>
      </x:c>
      <x:c r="K61" s="22" t="s">
        <x:v>21</x:v>
      </x:c>
      <x:c r="XFB61" s="1"/>
    </x:row>
    <x:row r="62" s="22" customFormat="1" hidden="1">
      <x:c r="A62" s="34" t="s">
        <x:v>140</x:v>
      </x:c>
      <x:c r="B62" s="32">
        <x:v>46082</x:v>
      </x:c>
      <x:c r="C62" s="45" t="str">
        <x:f t="shared" si="0"/>
        <x:v>MARÇO</x:v>
      </x:c>
      <x:c r="D62" s="34" t="s">
        <x:v>85</x:v>
      </x:c>
      <x:c r="E62" s="34" t="s">
        <x:v>90</x:v>
      </x:c>
      <x:c r="F62" s="34" t="s">
        <x:v>68</x:v>
      </x:c>
      <x:c r="G62" s="49">
        <x:v>-133.5</x:v>
      </x:c>
      <x:c r="H62" s="48" t="s">
        <x:v>82</x:v>
      </x:c>
      <x:c r="I62" s="33" t="s">
        <x:v>83</x:v>
      </x:c>
      <x:c r="J62" s="32">
        <x:v>46093</x:v>
      </x:c>
      <x:c r="K62" s="22" t="s">
        <x:v>21</x:v>
      </x:c>
      <x:c r="XFB62" s="1"/>
    </x:row>
    <x:row r="63" s="22" customFormat="1" hidden="1">
      <x:c r="A63" s="34" t="s">
        <x:v>141</x:v>
      </x:c>
      <x:c r="B63" s="32">
        <x:v>46082</x:v>
      </x:c>
      <x:c r="C63" s="45" t="str">
        <x:f t="shared" si="0"/>
        <x:v>MARÇO</x:v>
      </x:c>
      <x:c r="D63" s="34" t="s">
        <x:v>85</x:v>
      </x:c>
      <x:c r="E63" s="34" t="s">
        <x:v>81</x:v>
      </x:c>
      <x:c r="F63" s="34" t="s">
        <x:v>68</x:v>
      </x:c>
      <x:c r="G63" s="49">
        <x:v>-200</x:v>
      </x:c>
      <x:c r="H63" s="48" t="s">
        <x:v>82</x:v>
      </x:c>
      <x:c r="I63" s="33" t="s">
        <x:v>83</x:v>
      </x:c>
      <x:c r="J63" s="32">
        <x:v>46091</x:v>
      </x:c>
      <x:c r="K63" s="22" t="s">
        <x:v>21</x:v>
      </x:c>
      <x:c r="XFB63" s="1"/>
    </x:row>
    <x:row r="64" s="22" customFormat="1" hidden="1">
      <x:c r="A64" s="34" t="s">
        <x:v>142</x:v>
      </x:c>
      <x:c r="B64" s="32">
        <x:v>46082</x:v>
      </x:c>
      <x:c r="C64" s="45" t="str">
        <x:f t="shared" si="0"/>
        <x:v>MARÇO</x:v>
      </x:c>
      <x:c r="D64" s="34" t="s">
        <x:v>85</x:v>
      </x:c>
      <x:c r="E64" s="34" t="s">
        <x:v>81</x:v>
      </x:c>
      <x:c r="F64" s="34" t="s">
        <x:v>68</x:v>
      </x:c>
      <x:c r="G64" s="49">
        <x:v>-100</x:v>
      </x:c>
      <x:c r="H64" s="48" t="s">
        <x:v>82</x:v>
      </x:c>
      <x:c r="I64" s="33" t="s">
        <x:v>83</x:v>
      </x:c>
      <x:c r="J64" s="32">
        <x:v>46091</x:v>
      </x:c>
      <x:c r="K64" s="22" t="s">
        <x:v>21</x:v>
      </x:c>
      <x:c r="XFB64" s="1"/>
    </x:row>
    <x:row r="65" s="22" customFormat="1" hidden="1">
      <x:c r="A65" s="34" t="s">
        <x:v>123</x:v>
      </x:c>
      <x:c r="B65" s="32">
        <x:v>46082</x:v>
      </x:c>
      <x:c r="C65" s="45" t="str">
        <x:f t="shared" si="0"/>
        <x:v>MARÇO</x:v>
      </x:c>
      <x:c r="D65" s="34" t="s">
        <x:v>93</x:v>
      </x:c>
      <x:c r="E65" s="34" t="s">
        <x:v>81</x:v>
      </x:c>
      <x:c r="F65" s="34" t="s">
        <x:v>68</x:v>
      </x:c>
      <x:c r="G65" s="49">
        <x:v>-400</x:v>
      </x:c>
      <x:c r="H65" s="48" t="s">
        <x:v>82</x:v>
      </x:c>
      <x:c r="I65" s="33" t="s">
        <x:v>83</x:v>
      </x:c>
      <x:c r="J65" s="32">
        <x:v>46091</x:v>
      </x:c>
      <x:c r="K65" s="22" t="s">
        <x:v>21</x:v>
      </x:c>
      <x:c r="XFB65" s="1"/>
    </x:row>
    <x:row r="66" s="22" customFormat="1" hidden="1">
      <x:c r="A66" s="34" t="s">
        <x:v>119</x:v>
      </x:c>
      <x:c r="B66" s="32">
        <x:v>46082</x:v>
      </x:c>
      <x:c r="C66" s="45" t="str">
        <x:f t="shared" ref="C66:C129" si="1">UPPER(TEXT(B66,"MMMM"))</x:f>
        <x:v>MARCH</x:v>
      </x:c>
      <x:c r="D66" s="34" t="s">
        <x:v>120</x:v>
      </x:c>
      <x:c r="E66" s="34" t="s">
        <x:v>81</x:v>
      </x:c>
      <x:c r="F66" s="34" t="s">
        <x:v>68</x:v>
      </x:c>
      <x:c r="G66" s="49">
        <x:v>-10000</x:v>
      </x:c>
      <x:c r="H66" s="48" t="s">
        <x:v>82</x:v>
      </x:c>
      <x:c r="I66" s="33" t="s">
        <x:v>83</x:v>
      </x:c>
      <x:c r="J66" s="32">
        <x:v>46091</x:v>
      </x:c>
      <x:c r="K66" s="22" t="s">
        <x:v>21</x:v>
      </x:c>
      <x:c r="XFB66" s="1"/>
    </x:row>
    <x:row r="67" s="22" customFormat="1" hidden="1">
      <x:c r="A67" s="34" t="s">
        <x:v>143</x:v>
      </x:c>
      <x:c r="B67" s="32">
        <x:v>46082</x:v>
      </x:c>
      <x:c r="C67" s="45" t="str">
        <x:f t="shared" si="1"/>
        <x:v>MARÇO</x:v>
      </x:c>
      <x:c r="D67" s="34" t="s">
        <x:v>127</x:v>
      </x:c>
      <x:c r="E67" s="34" t="s">
        <x:v>90</x:v>
      </x:c>
      <x:c r="F67" s="34" t="s">
        <x:v>68</x:v>
      </x:c>
      <x:c r="G67" s="49">
        <x:v>8718</x:v>
      </x:c>
      <x:c r="H67" s="48" t="s">
        <x:v>91</x:v>
      </x:c>
      <x:c r="I67" s="33" t="s">
        <x:v>83</x:v>
      </x:c>
      <x:c r="J67" s="32">
        <x:v>46091</x:v>
      </x:c>
      <x:c r="K67" s="22" t="s">
        <x:v>21</x:v>
      </x:c>
      <x:c r="XFB67" s="1"/>
    </x:row>
    <x:row r="68" s="22" customFormat="1" hidden="1">
      <x:c r="A68" s="34" t="s">
        <x:v>135</x:v>
      </x:c>
      <x:c r="B68" s="32">
        <x:v>46082</x:v>
      </x:c>
      <x:c r="C68" s="45" t="str">
        <x:f t="shared" si="1"/>
        <x:v>MARÇO</x:v>
      </x:c>
      <x:c r="D68" s="34" t="s">
        <x:v>127</x:v>
      </x:c>
      <x:c r="E68" s="34" t="s">
        <x:v>90</x:v>
      </x:c>
      <x:c r="F68" s="34" t="s">
        <x:v>68</x:v>
      </x:c>
      <x:c r="G68" s="49">
        <x:v>9105.7000000000007</x:v>
      </x:c>
      <x:c r="H68" s="48" t="s">
        <x:v>91</x:v>
      </x:c>
      <x:c r="I68" s="33" t="s">
        <x:v>83</x:v>
      </x:c>
      <x:c r="J68" s="32">
        <x:v>46088</x:v>
      </x:c>
      <x:c r="K68" s="22" t="s">
        <x:v>21</x:v>
      </x:c>
      <x:c r="XFB68" s="1"/>
    </x:row>
    <x:row r="69" s="22" customFormat="1" hidden="1">
      <x:c r="A69" s="34" t="s">
        <x:v>144</x:v>
      </x:c>
      <x:c r="B69" s="32">
        <x:v>46082</x:v>
      </x:c>
      <x:c r="C69" s="45" t="str">
        <x:f t="shared" si="1"/>
        <x:v>MARÇO</x:v>
      </x:c>
      <x:c r="D69" s="34" t="s">
        <x:v>93</x:v>
      </x:c>
      <x:c r="E69" s="34" t="s">
        <x:v>81</x:v>
      </x:c>
      <x:c r="F69" s="34" t="s">
        <x:v>68</x:v>
      </x:c>
      <x:c r="G69" s="49">
        <x:v>-400</x:v>
      </x:c>
      <x:c r="H69" s="48" t="s">
        <x:v>82</x:v>
      </x:c>
      <x:c r="I69" s="33" t="s">
        <x:v>83</x:v>
      </x:c>
      <x:c r="J69" s="32">
        <x:v>46088</x:v>
      </x:c>
      <x:c r="K69" s="22" t="s">
        <x:v>21</x:v>
      </x:c>
      <x:c r="XFB69" s="1"/>
    </x:row>
    <x:row r="70" s="22" customFormat="1" hidden="1">
      <x:c r="A70" s="34" t="s">
        <x:v>145</x:v>
      </x:c>
      <x:c r="B70" s="32">
        <x:v>46082</x:v>
      </x:c>
      <x:c r="C70" s="45" t="str">
        <x:f t="shared" si="1"/>
        <x:v>MARÇO</x:v>
      </x:c>
      <x:c r="D70" s="34" t="s">
        <x:v>146</x:v>
      </x:c>
      <x:c r="E70" s="34" t="s">
        <x:v>147</x:v>
      </x:c>
      <x:c r="F70" s="34" t="s">
        <x:v>68</x:v>
      </x:c>
      <x:c r="G70" s="49">
        <x:v>-2169.63</x:v>
      </x:c>
      <x:c r="H70" s="48" t="s">
        <x:v>82</x:v>
      </x:c>
      <x:c r="I70" s="33" t="s">
        <x:v>83</x:v>
      </x:c>
      <x:c r="J70" s="32">
        <x:v>46087</x:v>
      </x:c>
      <x:c r="K70" s="22" t="s">
        <x:v>21</x:v>
      </x:c>
      <x:c r="XFB70" s="1"/>
    </x:row>
    <x:row r="71" s="22" customFormat="1" hidden="1">
      <x:c r="A71" s="34" t="s">
        <x:v>148</x:v>
      </x:c>
      <x:c r="B71" s="32">
        <x:v>46082</x:v>
      </x:c>
      <x:c r="C71" s="45" t="str">
        <x:f t="shared" si="1"/>
        <x:v>MARÇO</x:v>
      </x:c>
      <x:c r="D71" s="34" t="s">
        <x:v>113</x:v>
      </x:c>
      <x:c r="E71" s="34" t="s">
        <x:v>149</x:v>
      </x:c>
      <x:c r="F71" s="34" t="s">
        <x:v>68</x:v>
      </x:c>
      <x:c r="G71" s="49">
        <x:v>-21836.21</x:v>
      </x:c>
      <x:c r="H71" s="48" t="s">
        <x:v>82</x:v>
      </x:c>
      <x:c r="I71" s="33" t="s">
        <x:v>83</x:v>
      </x:c>
      <x:c r="J71" s="32">
        <x:v>46086</x:v>
      </x:c>
      <x:c r="K71" s="22" t="s">
        <x:v>21</x:v>
      </x:c>
      <x:c r="XFB71" s="1"/>
    </x:row>
    <x:row r="72" s="22" customFormat="1" hidden="1">
      <x:c r="A72" s="34" t="s">
        <x:v>126</x:v>
      </x:c>
      <x:c r="B72" s="32">
        <x:v>46082</x:v>
      </x:c>
      <x:c r="C72" s="45" t="str">
        <x:f t="shared" si="1"/>
        <x:v>MARÇO</x:v>
      </x:c>
      <x:c r="D72" s="34" t="s">
        <x:v>93</x:v>
      </x:c>
      <x:c r="E72" s="34" t="s">
        <x:v>81</x:v>
      </x:c>
      <x:c r="F72" s="34" t="s">
        <x:v>68</x:v>
      </x:c>
      <x:c r="G72" s="49">
        <x:v>-400</x:v>
      </x:c>
      <x:c r="H72" s="48" t="s">
        <x:v>82</x:v>
      </x:c>
      <x:c r="I72" s="33" t="s">
        <x:v>83</x:v>
      </x:c>
      <x:c r="J72" s="32">
        <x:v>46085</x:v>
      </x:c>
      <x:c r="K72" s="22" t="s">
        <x:v>21</x:v>
      </x:c>
      <x:c r="XFB72" s="1"/>
    </x:row>
    <x:row r="73" s="22" customFormat="1" hidden="1">
      <x:c r="A73" s="34" t="s">
        <x:v>88</x:v>
      </x:c>
      <x:c r="B73" s="32">
        <x:v>46082</x:v>
      </x:c>
      <x:c r="C73" s="45" t="str">
        <x:f t="shared" si="1"/>
        <x:v>MARÇO</x:v>
      </x:c>
      <x:c r="D73" s="34" t="s">
        <x:v>127</x:v>
      </x:c>
      <x:c r="E73" s="34" t="s">
        <x:v>90</x:v>
      </x:c>
      <x:c r="F73" s="34" t="s">
        <x:v>68</x:v>
      </x:c>
      <x:c r="G73" s="49">
        <x:v>9002.2199999999993</x:v>
      </x:c>
      <x:c r="H73" s="48" t="s">
        <x:v>91</x:v>
      </x:c>
      <x:c r="I73" s="33" t="s">
        <x:v>83</x:v>
      </x:c>
      <x:c r="J73" s="32">
        <x:v>46083</x:v>
      </x:c>
      <x:c r="K73" s="22" t="s">
        <x:v>21</x:v>
      </x:c>
      <x:c r="XFB73" s="1"/>
    </x:row>
    <x:row r="74" s="22" customFormat="1" hidden="1">
      <x:c r="A74" s="34" t="s">
        <x:v>87</x:v>
      </x:c>
      <x:c r="B74" s="32">
        <x:v>46082</x:v>
      </x:c>
      <x:c r="C74" s="45" t="str">
        <x:f t="shared" si="1"/>
        <x:v>MARÇO</x:v>
      </x:c>
      <x:c r="D74" s="34" t="s">
        <x:v>85</x:v>
      </x:c>
      <x:c r="E74" s="34" t="s">
        <x:v>87</x:v>
      </x:c>
      <x:c r="F74" s="34" t="s">
        <x:v>68</x:v>
      </x:c>
      <x:c r="G74" s="49">
        <x:v>-15821.87</x:v>
      </x:c>
      <x:c r="H74" s="48" t="s">
        <x:v>82</x:v>
      </x:c>
      <x:c r="I74" s="33" t="s">
        <x:v>83</x:v>
      </x:c>
      <x:c r="J74" s="32">
        <x:v>46083</x:v>
      </x:c>
      <x:c r="K74" s="22" t="s">
        <x:v>21</x:v>
      </x:c>
      <x:c r="XFB74" s="1"/>
    </x:row>
    <x:row r="75" s="22" customFormat="1" hidden="1">
      <x:c r="A75" s="34" t="s">
        <x:v>150</x:v>
      </x:c>
      <x:c r="B75" s="32">
        <x:v>46054</x:v>
      </x:c>
      <x:c r="C75" s="45" t="str">
        <x:f t="shared" si="1"/>
        <x:v>FEVEREIRO</x:v>
      </x:c>
      <x:c r="D75" s="34" t="s">
        <x:v>132</x:v>
      </x:c>
      <x:c r="E75" s="34" t="s">
        <x:v>133</x:v>
      </x:c>
      <x:c r="F75" s="34" t="s">
        <x:v>68</x:v>
      </x:c>
      <x:c r="G75" s="49">
        <x:v>-2397.87</x:v>
      </x:c>
      <x:c r="H75" s="48" t="s">
        <x:v>82</x:v>
      </x:c>
      <x:c r="I75" s="33" t="s">
        <x:v>83</x:v>
      </x:c>
      <x:c r="J75" s="32">
        <x:v>46078</x:v>
      </x:c>
      <x:c r="K75" s="22" t="s">
        <x:v>21</x:v>
      </x:c>
      <x:c r="XFB75" s="1"/>
    </x:row>
    <x:row r="76" s="22" customFormat="1" hidden="1">
      <x:c r="A76" s="34" t="s">
        <x:v>96</x:v>
      </x:c>
      <x:c r="B76" s="32">
        <x:v>46054</x:v>
      </x:c>
      <x:c r="C76" s="45" t="str">
        <x:f t="shared" si="1"/>
        <x:v>FEVEREIRO</x:v>
      </x:c>
      <x:c r="D76" s="34" t="s">
        <x:v>93</x:v>
      </x:c>
      <x:c r="E76" s="34" t="s">
        <x:v>81</x:v>
      </x:c>
      <x:c r="F76" s="34" t="s">
        <x:v>68</x:v>
      </x:c>
      <x:c r="G76" s="49">
        <x:v>-400</x:v>
      </x:c>
      <x:c r="H76" s="48" t="s">
        <x:v>82</x:v>
      </x:c>
      <x:c r="I76" s="33" t="s">
        <x:v>83</x:v>
      </x:c>
      <x:c r="J76" s="32">
        <x:v>46077</x:v>
      </x:c>
      <x:c r="K76" s="22" t="s">
        <x:v>21</x:v>
      </x:c>
      <x:c r="XFB76" s="1"/>
    </x:row>
    <x:row r="77" s="22" customFormat="1" hidden="1">
      <x:c r="A77" s="34" t="s">
        <x:v>98</x:v>
      </x:c>
      <x:c r="B77" s="32">
        <x:v>46054</x:v>
      </x:c>
      <x:c r="C77" s="45" t="str">
        <x:f t="shared" si="1"/>
        <x:v>FEVEREIRO</x:v>
      </x:c>
      <x:c r="D77" s="34" t="s">
        <x:v>93</x:v>
      </x:c>
      <x:c r="E77" s="34" t="s">
        <x:v>81</x:v>
      </x:c>
      <x:c r="F77" s="34" t="s">
        <x:v>68</x:v>
      </x:c>
      <x:c r="G77" s="49">
        <x:v>-400</x:v>
      </x:c>
      <x:c r="H77" s="48" t="s">
        <x:v>82</x:v>
      </x:c>
      <x:c r="I77" s="33" t="s">
        <x:v>83</x:v>
      </x:c>
      <x:c r="J77" s="32">
        <x:v>46077</x:v>
      </x:c>
      <x:c r="K77" s="22" t="s">
        <x:v>21</x:v>
      </x:c>
      <x:c r="XFB77" s="1"/>
    </x:row>
    <x:row r="78" s="22" customFormat="1" hidden="1">
      <x:c r="A78" s="34" t="s">
        <x:v>88</x:v>
      </x:c>
      <x:c r="B78" s="32">
        <x:v>46054</x:v>
      </x:c>
      <x:c r="C78" s="45" t="str">
        <x:f t="shared" si="1"/>
        <x:v>FEVEREIRO</x:v>
      </x:c>
      <x:c r="D78" s="34" t="s">
        <x:v>127</x:v>
      </x:c>
      <x:c r="E78" s="34" t="s">
        <x:v>90</x:v>
      </x:c>
      <x:c r="F78" s="34" t="s">
        <x:v>68</x:v>
      </x:c>
      <x:c r="G78" s="49">
        <x:v>8010.24</x:v>
      </x:c>
      <x:c r="H78" s="48" t="s">
        <x:v>91</x:v>
      </x:c>
      <x:c r="I78" s="33" t="s">
        <x:v>83</x:v>
      </x:c>
      <x:c r="J78" s="32">
        <x:v>46077</x:v>
      </x:c>
      <x:c r="K78" s="22" t="s">
        <x:v>21</x:v>
      </x:c>
      <x:c r="XFB78" s="1"/>
    </x:row>
    <x:row r="79" s="22" customFormat="1" hidden="1">
      <x:c r="A79" s="34" t="s">
        <x:v>100</x:v>
      </x:c>
      <x:c r="B79" s="32">
        <x:v>46054</x:v>
      </x:c>
      <x:c r="C79" s="45" t="str">
        <x:f t="shared" si="1"/>
        <x:v>FEVEREIRO</x:v>
      </x:c>
      <x:c r="D79" s="34" t="s">
        <x:v>93</x:v>
      </x:c>
      <x:c r="E79" s="34" t="s">
        <x:v>81</x:v>
      </x:c>
      <x:c r="F79" s="34" t="s">
        <x:v>68</x:v>
      </x:c>
      <x:c r="G79" s="49">
        <x:v>-400</x:v>
      </x:c>
      <x:c r="H79" s="48" t="s">
        <x:v>82</x:v>
      </x:c>
      <x:c r="I79" s="33" t="s">
        <x:v>83</x:v>
      </x:c>
      <x:c r="J79" s="32">
        <x:v>46074</x:v>
      </x:c>
      <x:c r="K79" s="22" t="s">
        <x:v>21</x:v>
      </x:c>
      <x:c r="XFB79" s="1"/>
    </x:row>
    <x:row r="80" s="22" customFormat="1" hidden="1">
      <x:c r="A80" s="34" t="s">
        <x:v>151</x:v>
      </x:c>
      <x:c r="B80" s="32">
        <x:v>46054</x:v>
      </x:c>
      <x:c r="C80" s="45" t="str">
        <x:f t="shared" si="1"/>
        <x:v>FEVEREIRO</x:v>
      </x:c>
      <x:c r="D80" s="34" t="s">
        <x:v>127</x:v>
      </x:c>
      <x:c r="E80" s="34" t="s">
        <x:v>90</x:v>
      </x:c>
      <x:c r="F80" s="34" t="s">
        <x:v>68</x:v>
      </x:c>
      <x:c r="G80" s="49">
        <x:v>8721.4699999999993</x:v>
      </x:c>
      <x:c r="H80" s="48" t="s">
        <x:v>91</x:v>
      </x:c>
      <x:c r="I80" s="33" t="s">
        <x:v>83</x:v>
      </x:c>
      <x:c r="J80" s="32">
        <x:v>46074</x:v>
      </x:c>
      <x:c r="K80" s="22" t="s">
        <x:v>21</x:v>
      </x:c>
      <x:c r="XFB80" s="1"/>
    </x:row>
    <x:row r="81" s="22" customFormat="1" hidden="1">
      <x:c r="A81" s="34" t="s">
        <x:v>152</x:v>
      </x:c>
      <x:c r="B81" s="42">
        <x:v>46054</x:v>
      </x:c>
      <x:c r="C81" s="45" t="str">
        <x:f t="shared" si="1"/>
        <x:v>FEVEREIRO</x:v>
      </x:c>
      <x:c r="D81" s="34"/>
      <x:c r="E81" s="34" t="s">
        <x:v>153</x:v>
      </x:c>
      <x:c r="F81" s="34" t="s">
        <x:v>68</x:v>
      </x:c>
      <x:c r="G81" s="49">
        <x:v>-3025.8</x:v>
      </x:c>
      <x:c r="H81" s="48" t="s">
        <x:v>82</x:v>
      </x:c>
      <x:c r="I81" s="33" t="s">
        <x:v>83</x:v>
      </x:c>
      <x:c r="J81" s="32">
        <x:v>46072</x:v>
      </x:c>
      <x:c r="K81" s="22" t="s">
        <x:v>21</x:v>
      </x:c>
      <x:c r="XFB81" s="1"/>
    </x:row>
    <x:row r="82" s="22" customFormat="1" hidden="1">
      <x:c r="A82" s="34" t="s">
        <x:v>105</x:v>
      </x:c>
      <x:c r="B82" s="32">
        <x:v>46054</x:v>
      </x:c>
      <x:c r="C82" s="45" t="str">
        <x:f t="shared" si="1"/>
        <x:v>FEVEREIRO</x:v>
      </x:c>
      <x:c r="D82" s="34" t="s">
        <x:v>106</x:v>
      </x:c>
      <x:c r="E82" s="34" t="s">
        <x:v>90</x:v>
      </x:c>
      <x:c r="F82" s="34" t="s">
        <x:v>68</x:v>
      </x:c>
      <x:c r="G82" s="49">
        <x:v>-65</x:v>
      </x:c>
      <x:c r="H82" s="48" t="s">
        <x:v>82</x:v>
      </x:c>
      <x:c r="I82" s="33" t="s">
        <x:v>83</x:v>
      </x:c>
      <x:c r="J82" s="32">
        <x:v>46072</x:v>
      </x:c>
      <x:c r="K82" s="22" t="s">
        <x:v>21</x:v>
      </x:c>
      <x:c r="XFB82" s="1"/>
    </x:row>
    <x:row r="83" s="22" customFormat="1" hidden="1">
      <x:c r="A83" s="34" t="s">
        <x:v>145</x:v>
      </x:c>
      <x:c r="B83" s="32">
        <x:v>46054</x:v>
      </x:c>
      <x:c r="C83" s="45" t="str">
        <x:f t="shared" si="1"/>
        <x:v>FEVEREIRO</x:v>
      </x:c>
      <x:c r="D83" s="34" t="s">
        <x:v>146</x:v>
      </x:c>
      <x:c r="E83" s="34" t="s">
        <x:v>147</x:v>
      </x:c>
      <x:c r="F83" s="34" t="s">
        <x:v>68</x:v>
      </x:c>
      <x:c r="G83" s="49">
        <x:v>-2169.63</x:v>
      </x:c>
      <x:c r="H83" s="48" t="s">
        <x:v>82</x:v>
      </x:c>
      <x:c r="I83" s="33" t="s">
        <x:v>83</x:v>
      </x:c>
      <x:c r="J83" s="32">
        <x:v>46072</x:v>
      </x:c>
      <x:c r="K83" s="22" t="s">
        <x:v>21</x:v>
      </x:c>
      <x:c r="XFB83" s="1"/>
    </x:row>
    <x:row r="84" s="22" customFormat="1" hidden="1">
      <x:c r="A84" s="34" t="s">
        <x:v>87</x:v>
      </x:c>
      <x:c r="B84" s="42">
        <x:v>46054</x:v>
      </x:c>
      <x:c r="C84" s="45" t="str">
        <x:f t="shared" si="1"/>
        <x:v>FEVEREIRO</x:v>
      </x:c>
      <x:c r="D84" s="34" t="s">
        <x:v>85</x:v>
      </x:c>
      <x:c r="E84" s="34" t="s">
        <x:v>87</x:v>
      </x:c>
      <x:c r="F84" s="34" t="s">
        <x:v>68</x:v>
      </x:c>
      <x:c r="G84" s="49">
        <x:v>-19220.71</x:v>
      </x:c>
      <x:c r="H84" s="48" t="s">
        <x:v>82</x:v>
      </x:c>
      <x:c r="I84" s="33" t="s">
        <x:v>83</x:v>
      </x:c>
      <x:c r="J84" s="32">
        <x:v>46071</x:v>
      </x:c>
      <x:c r="K84" s="22" t="s">
        <x:v>21</x:v>
      </x:c>
      <x:c r="XFB84" s="1"/>
    </x:row>
    <x:row r="85" s="22" customFormat="1" hidden="1">
      <x:c r="A85" s="34" t="s">
        <x:v>88</x:v>
      </x:c>
      <x:c r="B85" s="32">
        <x:v>46054</x:v>
      </x:c>
      <x:c r="C85" s="45" t="str">
        <x:f t="shared" si="1"/>
        <x:v>FEVEREIRO</x:v>
      </x:c>
      <x:c r="D85" s="34" t="s">
        <x:v>127</x:v>
      </x:c>
      <x:c r="E85" s="34" t="s">
        <x:v>90</x:v>
      </x:c>
      <x:c r="F85" s="34" t="s">
        <x:v>68</x:v>
      </x:c>
      <x:c r="G85" s="49">
        <x:v>9105.7000000000007</x:v>
      </x:c>
      <x:c r="H85" s="48" t="s">
        <x:v>91</x:v>
      </x:c>
      <x:c r="I85" s="33" t="s">
        <x:v>83</x:v>
      </x:c>
      <x:c r="J85" s="32">
        <x:v>46070</x:v>
      </x:c>
      <x:c r="K85" s="22" t="s">
        <x:v>21</x:v>
      </x:c>
      <x:c r="XFB85" s="1"/>
    </x:row>
    <x:row r="86" s="22" customFormat="1" hidden="1">
      <x:c r="A86" s="34" t="s">
        <x:v>101</x:v>
      </x:c>
      <x:c r="B86" s="42">
        <x:v>46054</x:v>
      </x:c>
      <x:c r="C86" s="45" t="str">
        <x:f t="shared" si="1"/>
        <x:v>FEVEREIRO</x:v>
      </x:c>
      <x:c r="D86" s="34" t="s">
        <x:v>102</x:v>
      </x:c>
      <x:c r="E86" s="34" t="s">
        <x:v>103</x:v>
      </x:c>
      <x:c r="F86" s="34" t="s">
        <x:v>68</x:v>
      </x:c>
      <x:c r="G86" s="49">
        <x:v>-1931.28</x:v>
      </x:c>
      <x:c r="H86" s="48" t="s">
        <x:v>82</x:v>
      </x:c>
      <x:c r="I86" s="33" t="s">
        <x:v>83</x:v>
      </x:c>
      <x:c r="J86" s="32">
        <x:v>46068</x:v>
      </x:c>
      <x:c r="K86" s="22" t="s">
        <x:v>21</x:v>
      </x:c>
      <x:c r="XFB86" s="1"/>
    </x:row>
    <x:row r="87" s="22" customFormat="1" hidden="1">
      <x:c r="A87" s="34" t="s">
        <x:v>104</x:v>
      </x:c>
      <x:c r="B87" s="42">
        <x:v>46054</x:v>
      </x:c>
      <x:c r="C87" s="45" t="str">
        <x:f t="shared" si="1"/>
        <x:v>FEVEREIRO</x:v>
      </x:c>
      <x:c r="D87" s="34" t="s">
        <x:v>102</x:v>
      </x:c>
      <x:c r="E87" s="34" t="s">
        <x:v>103</x:v>
      </x:c>
      <x:c r="F87" s="34" t="s">
        <x:v>68</x:v>
      </x:c>
      <x:c r="G87" s="49">
        <x:v>-109.59</x:v>
      </x:c>
      <x:c r="H87" s="48" t="s">
        <x:v>82</x:v>
      </x:c>
      <x:c r="I87" s="33" t="s">
        <x:v>83</x:v>
      </x:c>
      <x:c r="J87" s="32">
        <x:v>46068</x:v>
      </x:c>
      <x:c r="K87" s="22" t="s">
        <x:v>21</x:v>
      </x:c>
      <x:c r="XFB87" s="1"/>
    </x:row>
    <x:row r="88" s="22" customFormat="1" hidden="1">
      <x:c r="A88" s="34" t="s">
        <x:v>108</x:v>
      </x:c>
      <x:c r="B88" s="32">
        <x:v>46054</x:v>
      </x:c>
      <x:c r="C88" s="45" t="str">
        <x:f t="shared" si="1"/>
        <x:v>FEVEREIRO</x:v>
      </x:c>
      <x:c r="D88" s="34" t="s">
        <x:v>93</x:v>
      </x:c>
      <x:c r="E88" s="34" t="s">
        <x:v>81</x:v>
      </x:c>
      <x:c r="F88" s="34" t="s">
        <x:v>68</x:v>
      </x:c>
      <x:c r="G88" s="49">
        <x:v>-400</x:v>
      </x:c>
      <x:c r="H88" s="48" t="s">
        <x:v>82</x:v>
      </x:c>
      <x:c r="I88" s="33" t="s">
        <x:v>83</x:v>
      </x:c>
      <x:c r="J88" s="32">
        <x:v>46067</x:v>
      </x:c>
      <x:c r="K88" s="22" t="s">
        <x:v>21</x:v>
      </x:c>
      <x:c r="XFB88" s="1"/>
    </x:row>
    <x:row r="89" s="22" customFormat="1" hidden="1">
      <x:c r="A89" s="34" t="s">
        <x:v>94</x:v>
      </x:c>
      <x:c r="B89" s="32">
        <x:v>46054</x:v>
      </x:c>
      <x:c r="C89" s="45" t="str">
        <x:f t="shared" si="1"/>
        <x:v>FEVEREIRO</x:v>
      </x:c>
      <x:c r="D89" s="34" t="s">
        <x:v>127</x:v>
      </x:c>
      <x:c r="E89" s="34" t="s">
        <x:v>90</x:v>
      </x:c>
      <x:c r="F89" s="34" t="s">
        <x:v>68</x:v>
      </x:c>
      <x:c r="G89" s="49">
        <x:v>9143.84</x:v>
      </x:c>
      <x:c r="H89" s="48" t="s">
        <x:v>91</x:v>
      </x:c>
      <x:c r="I89" s="33" t="s">
        <x:v>83</x:v>
      </x:c>
      <x:c r="J89" s="32">
        <x:v>46067</x:v>
      </x:c>
      <x:c r="K89" s="22" t="s">
        <x:v>21</x:v>
      </x:c>
      <x:c r="XFB89" s="1"/>
    </x:row>
    <x:row r="90" s="22" customFormat="1" hidden="1">
      <x:c r="A90" s="34" t="s">
        <x:v>119</x:v>
      </x:c>
      <x:c r="B90" s="32">
        <x:v>46054</x:v>
      </x:c>
      <x:c r="C90" s="45" t="str">
        <x:f t="shared" si="1"/>
        <x:v>FEVEREIRO</x:v>
      </x:c>
      <x:c r="D90" s="34" t="s">
        <x:v>120</x:v>
      </x:c>
      <x:c r="E90" s="34" t="s">
        <x:v>81</x:v>
      </x:c>
      <x:c r="F90" s="34" t="s">
        <x:v>68</x:v>
      </x:c>
      <x:c r="G90" s="49">
        <x:v>-10000</x:v>
      </x:c>
      <x:c r="H90" s="48" t="s">
        <x:v>82</x:v>
      </x:c>
      <x:c r="I90" s="33" t="s">
        <x:v>83</x:v>
      </x:c>
      <x:c r="J90" s="32">
        <x:v>46065</x:v>
      </x:c>
      <x:c r="K90" s="22" t="s">
        <x:v>21</x:v>
      </x:c>
      <x:c r="XFB90" s="1"/>
    </x:row>
    <x:row r="91" s="22" customFormat="1" hidden="1">
      <x:c r="A91" s="34" t="s">
        <x:v>154</x:v>
      </x:c>
      <x:c r="B91" s="32">
        <x:v>46054</x:v>
      </x:c>
      <x:c r="C91" s="45" t="str">
        <x:f t="shared" si="1"/>
        <x:v>FEVEREIRO</x:v>
      </x:c>
      <x:c r="D91" s="34" t="s">
        <x:v>85</x:v>
      </x:c>
      <x:c r="E91" s="34" t="s">
        <x:v>81</x:v>
      </x:c>
      <x:c r="F91" s="34" t="s">
        <x:v>68</x:v>
      </x:c>
      <x:c r="G91" s="49">
        <x:v>-1117.76</x:v>
      </x:c>
      <x:c r="H91" s="48" t="s">
        <x:v>82</x:v>
      </x:c>
      <x:c r="I91" s="33" t="s">
        <x:v>83</x:v>
      </x:c>
      <x:c r="J91" s="32">
        <x:v>46065</x:v>
      </x:c>
      <x:c r="K91" s="22" t="s">
        <x:v>21</x:v>
      </x:c>
      <x:c r="XFB91" s="1"/>
    </x:row>
    <x:row r="92" s="22" customFormat="1" hidden="1">
      <x:c r="A92" s="34" t="s">
        <x:v>155</x:v>
      </x:c>
      <x:c r="B92" s="32">
        <x:v>46054</x:v>
      </x:c>
      <x:c r="C92" s="45" t="str">
        <x:f t="shared" si="1"/>
        <x:v>FEVEREIRO</x:v>
      </x:c>
      <x:c r="D92" s="34" t="s">
        <x:v>138</x:v>
      </x:c>
      <x:c r="E92" s="34" t="s">
        <x:v>139</x:v>
      </x:c>
      <x:c r="F92" s="34" t="s">
        <x:v>68</x:v>
      </x:c>
      <x:c r="G92" s="49">
        <x:v>-10208.89</x:v>
      </x:c>
      <x:c r="H92" s="48" t="s">
        <x:v>82</x:v>
      </x:c>
      <x:c r="I92" s="33" t="s">
        <x:v>83</x:v>
      </x:c>
      <x:c r="J92" s="32">
        <x:v>46064</x:v>
      </x:c>
      <x:c r="K92" s="22" t="s">
        <x:v>21</x:v>
      </x:c>
      <x:c r="XFB92" s="1"/>
    </x:row>
    <x:row r="93" s="22" customFormat="1" hidden="1">
      <x:c r="A93" s="34" t="s">
        <x:v>122</x:v>
      </x:c>
      <x:c r="B93" s="32">
        <x:v>46054</x:v>
      </x:c>
      <x:c r="C93" s="45" t="str">
        <x:f t="shared" si="1"/>
        <x:v>FEVEREIRO</x:v>
      </x:c>
      <x:c r="D93" s="34" t="s">
        <x:v>93</x:v>
      </x:c>
      <x:c r="E93" s="34" t="s">
        <x:v>81</x:v>
      </x:c>
      <x:c r="F93" s="34" t="s">
        <x:v>68</x:v>
      </x:c>
      <x:c r="G93" s="49">
        <x:v>-400</x:v>
      </x:c>
      <x:c r="H93" s="48" t="s">
        <x:v>82</x:v>
      </x:c>
      <x:c r="I93" s="33" t="s">
        <x:v>83</x:v>
      </x:c>
      <x:c r="J93" s="32">
        <x:v>46063</x:v>
      </x:c>
      <x:c r="K93" s="22" t="s">
        <x:v>21</x:v>
      </x:c>
      <x:c r="XFB93" s="1"/>
    </x:row>
    <x:row r="94" s="22" customFormat="1" hidden="1">
      <x:c r="A94" s="34" t="s">
        <x:v>123</x:v>
      </x:c>
      <x:c r="B94" s="32">
        <x:v>46054</x:v>
      </x:c>
      <x:c r="C94" s="45" t="str">
        <x:f t="shared" si="1"/>
        <x:v>FEVEREIRO</x:v>
      </x:c>
      <x:c r="D94" s="34" t="s">
        <x:v>93</x:v>
      </x:c>
      <x:c r="E94" s="34" t="s">
        <x:v>81</x:v>
      </x:c>
      <x:c r="F94" s="34" t="s">
        <x:v>68</x:v>
      </x:c>
      <x:c r="G94" s="49">
        <x:v>-400</x:v>
      </x:c>
      <x:c r="H94" s="48" t="s">
        <x:v>82</x:v>
      </x:c>
      <x:c r="I94" s="33" t="s">
        <x:v>83</x:v>
      </x:c>
      <x:c r="J94" s="32">
        <x:v>46063</x:v>
      </x:c>
      <x:c r="K94" s="22" t="s">
        <x:v>21</x:v>
      </x:c>
      <x:c r="XFB94" s="1"/>
    </x:row>
    <x:row r="95" s="22" customFormat="1" hidden="1">
      <x:c r="A95" s="34" t="s">
        <x:v>88</x:v>
      </x:c>
      <x:c r="B95" s="32">
        <x:v>46054</x:v>
      </x:c>
      <x:c r="C95" s="45" t="str">
        <x:f t="shared" si="1"/>
        <x:v>FEVEREIRO</x:v>
      </x:c>
      <x:c r="D95" s="34" t="s">
        <x:v>127</x:v>
      </x:c>
      <x:c r="E95" s="34" t="s">
        <x:v>90</x:v>
      </x:c>
      <x:c r="F95" s="34" t="s">
        <x:v>68</x:v>
      </x:c>
      <x:c r="G95" s="49">
        <x:v>8923.0499999999993</x:v>
      </x:c>
      <x:c r="H95" s="48" t="s">
        <x:v>91</x:v>
      </x:c>
      <x:c r="I95" s="33" t="s">
        <x:v>83</x:v>
      </x:c>
      <x:c r="J95" s="32">
        <x:v>46063</x:v>
      </x:c>
      <x:c r="K95" s="22" t="s">
        <x:v>21</x:v>
      </x:c>
      <x:c r="XFB95" s="1"/>
    </x:row>
    <x:row r="96" s="22" customFormat="1" hidden="1">
      <x:c r="A96" s="34" t="s">
        <x:v>118</x:v>
      </x:c>
      <x:c r="B96" s="32">
        <x:v>46054</x:v>
      </x:c>
      <x:c r="C96" s="45" t="str">
        <x:f t="shared" si="1"/>
        <x:v>FEVEREIRO</x:v>
      </x:c>
      <x:c r="D96" s="34" t="s">
        <x:v>85</x:v>
      </x:c>
      <x:c r="E96" s="34" t="s">
        <x:v>118</x:v>
      </x:c>
      <x:c r="F96" s="34" t="s">
        <x:v>68</x:v>
      </x:c>
      <x:c r="G96" s="49">
        <x:v>-57</x:v>
      </x:c>
      <x:c r="H96" s="48" t="s">
        <x:v>82</x:v>
      </x:c>
      <x:c r="I96" s="33" t="s">
        <x:v>83</x:v>
      </x:c>
      <x:c r="J96" s="32">
        <x:v>46062</x:v>
      </x:c>
      <x:c r="K96" s="22" t="s">
        <x:v>21</x:v>
      </x:c>
      <x:c r="XFB96" s="1"/>
    </x:row>
    <x:row r="97" s="22" customFormat="1" hidden="1">
      <x:c r="A97" s="34" t="s">
        <x:v>94</x:v>
      </x:c>
      <x:c r="B97" s="32">
        <x:v>46054</x:v>
      </x:c>
      <x:c r="C97" s="45" t="str">
        <x:f t="shared" si="1"/>
        <x:v>FEVEREIRO</x:v>
      </x:c>
      <x:c r="D97" s="34" t="s">
        <x:v>127</x:v>
      </x:c>
      <x:c r="E97" s="34" t="s">
        <x:v>90</x:v>
      </x:c>
      <x:c r="F97" s="34" t="s">
        <x:v>68</x:v>
      </x:c>
      <x:c r="G97" s="49">
        <x:v>8969.44</x:v>
      </x:c>
      <x:c r="H97" s="48" t="s">
        <x:v>91</x:v>
      </x:c>
      <x:c r="I97" s="33" t="s">
        <x:v>83</x:v>
      </x:c>
      <x:c r="J97" s="32">
        <x:v>46060</x:v>
      </x:c>
      <x:c r="K97" s="22" t="s">
        <x:v>21</x:v>
      </x:c>
      <x:c r="XFB97" s="1"/>
    </x:row>
    <x:row r="98" s="22" customFormat="1" hidden="1">
      <x:c r="A98" s="34" t="s">
        <x:v>152</x:v>
      </x:c>
      <x:c r="B98" s="42">
        <x:v>46054</x:v>
      </x:c>
      <x:c r="C98" s="45" t="str">
        <x:f t="shared" si="1"/>
        <x:v>FEVEREIRO</x:v>
      </x:c>
      <x:c r="D98" s="34"/>
      <x:c r="E98" s="34" t="s">
        <x:v>153</x:v>
      </x:c>
      <x:c r="F98" s="34" t="s">
        <x:v>68</x:v>
      </x:c>
      <x:c r="G98" s="49">
        <x:v>-15019.21</x:v>
      </x:c>
      <x:c r="H98" s="48" t="s">
        <x:v>82</x:v>
      </x:c>
      <x:c r="I98" s="33" t="s">
        <x:v>83</x:v>
      </x:c>
      <x:c r="J98" s="32">
        <x:v>46059</x:v>
      </x:c>
      <x:c r="K98" s="22" t="s">
        <x:v>21</x:v>
      </x:c>
      <x:c r="XFB98" s="1"/>
    </x:row>
    <x:row r="99" s="22" customFormat="1" hidden="1">
      <x:c r="A99" s="34" t="s">
        <x:v>148</x:v>
      </x:c>
      <x:c r="B99" s="32">
        <x:v>46054</x:v>
      </x:c>
      <x:c r="C99" s="45" t="str">
        <x:f t="shared" si="1"/>
        <x:v>FEVEREIRO</x:v>
      </x:c>
      <x:c r="D99" s="34" t="s">
        <x:v>113</x:v>
      </x:c>
      <x:c r="E99" s="34" t="s">
        <x:v>149</x:v>
      </x:c>
      <x:c r="F99" s="34" t="s">
        <x:v>68</x:v>
      </x:c>
      <x:c r="G99" s="49">
        <x:v>-21836.21</x:v>
      </x:c>
      <x:c r="H99" s="48" t="s">
        <x:v>82</x:v>
      </x:c>
      <x:c r="I99" s="33" t="s">
        <x:v>83</x:v>
      </x:c>
      <x:c r="J99" s="32">
        <x:v>46058</x:v>
      </x:c>
      <x:c r="K99" s="22" t="s">
        <x:v>21</x:v>
      </x:c>
      <x:c r="XFB99" s="1"/>
    </x:row>
    <x:row r="100" s="22" customFormat="1" hidden="1">
      <x:c r="A100" s="34" t="s">
        <x:v>125</x:v>
      </x:c>
      <x:c r="B100" s="32">
        <x:v>46054</x:v>
      </x:c>
      <x:c r="C100" s="45" t="str">
        <x:f t="shared" si="1"/>
        <x:v>FEVEREIRO</x:v>
      </x:c>
      <x:c r="D100" s="34" t="s">
        <x:v>93</x:v>
      </x:c>
      <x:c r="E100" s="34" t="s">
        <x:v>81</x:v>
      </x:c>
      <x:c r="F100" s="34" t="s">
        <x:v>68</x:v>
      </x:c>
      <x:c r="G100" s="49">
        <x:v>-400</x:v>
      </x:c>
      <x:c r="H100" s="48" t="s">
        <x:v>82</x:v>
      </x:c>
      <x:c r="I100" s="33" t="s">
        <x:v>83</x:v>
      </x:c>
      <x:c r="J100" s="32">
        <x:v>46057</x:v>
      </x:c>
      <x:c r="K100" s="22" t="s">
        <x:v>21</x:v>
      </x:c>
      <x:c r="XFB100" s="1"/>
    </x:row>
    <x:row r="101" s="22" customFormat="1" hidden="1">
      <x:c r="A101" s="34" t="s">
        <x:v>126</x:v>
      </x:c>
      <x:c r="B101" s="32">
        <x:v>46054</x:v>
      </x:c>
      <x:c r="C101" s="45" t="str">
        <x:f t="shared" si="1"/>
        <x:v>FEVEREIRO</x:v>
      </x:c>
      <x:c r="D101" s="34" t="s">
        <x:v>93</x:v>
      </x:c>
      <x:c r="E101" s="34" t="s">
        <x:v>81</x:v>
      </x:c>
      <x:c r="F101" s="34" t="s">
        <x:v>68</x:v>
      </x:c>
      <x:c r="G101" s="49">
        <x:v>-400</x:v>
      </x:c>
      <x:c r="H101" s="48" t="s">
        <x:v>82</x:v>
      </x:c>
      <x:c r="I101" s="33" t="s">
        <x:v>83</x:v>
      </x:c>
      <x:c r="J101" s="32">
        <x:v>46057</x:v>
      </x:c>
      <x:c r="K101" s="22" t="s">
        <x:v>21</x:v>
      </x:c>
      <x:c r="XFB101" s="1"/>
    </x:row>
    <x:row r="102" s="22" customFormat="1" hidden="1">
      <x:c r="A102" s="34" t="s">
        <x:v>88</x:v>
      </x:c>
      <x:c r="B102" s="32">
        <x:v>46054</x:v>
      </x:c>
      <x:c r="C102" s="45" t="str">
        <x:f t="shared" si="1"/>
        <x:v>FEVEREIRO</x:v>
      </x:c>
      <x:c r="D102" s="34" t="s">
        <x:v>127</x:v>
      </x:c>
      <x:c r="E102" s="34" t="s">
        <x:v>90</x:v>
      </x:c>
      <x:c r="F102" s="34" t="s">
        <x:v>68</x:v>
      </x:c>
      <x:c r="G102" s="49">
        <x:v>9122.0400000000009</x:v>
      </x:c>
      <x:c r="H102" s="48" t="s">
        <x:v>91</x:v>
      </x:c>
      <x:c r="I102" s="33" t="s">
        <x:v>83</x:v>
      </x:c>
      <x:c r="J102" s="32">
        <x:v>46057</x:v>
      </x:c>
      <x:c r="K102" s="22" t="s">
        <x:v>21</x:v>
      </x:c>
      <x:c r="XFB102" s="1"/>
    </x:row>
    <x:row r="103" s="22" customFormat="1" hidden="1">
      <x:c r="A103" s="34" t="s">
        <x:v>79</x:v>
      </x:c>
      <x:c r="B103" s="32">
        <x:v>46023</x:v>
      </x:c>
      <x:c r="C103" s="45" t="str">
        <x:f t="shared" si="1"/>
        <x:v>JANEIRO</x:v>
      </x:c>
      <x:c r="D103" s="34" t="s">
        <x:v>156</x:v>
      </x:c>
      <x:c r="E103" s="34" t="s">
        <x:v>157</x:v>
      </x:c>
      <x:c r="F103" s="34" t="s">
        <x:v>68</x:v>
      </x:c>
      <x:c r="G103" s="49">
        <x:v>-35</x:v>
      </x:c>
      <x:c r="H103" s="48" t="s">
        <x:v>82</x:v>
      </x:c>
      <x:c r="I103" s="33" t="s">
        <x:v>83</x:v>
      </x:c>
      <x:c r="J103" s="32">
        <x:v>46056</x:v>
      </x:c>
      <x:c r="K103" s="22" t="s">
        <x:v>21</x:v>
      </x:c>
      <x:c r="XFB103" s="1"/>
    </x:row>
    <x:row r="104" s="22" customFormat="1" hidden="1">
      <x:c r="A104" s="34" t="s">
        <x:v>87</x:v>
      </x:c>
      <x:c r="B104" s="32">
        <x:v>46054</x:v>
      </x:c>
      <x:c r="C104" s="45" t="str">
        <x:f t="shared" si="1"/>
        <x:v>FEVEREIRO</x:v>
      </x:c>
      <x:c r="D104" s="34" t="s">
        <x:v>85</x:v>
      </x:c>
      <x:c r="E104" s="34" t="s">
        <x:v>87</x:v>
      </x:c>
      <x:c r="F104" s="34" t="s">
        <x:v>68</x:v>
      </x:c>
      <x:c r="G104" s="49">
        <x:v>-15779.17</x:v>
      </x:c>
      <x:c r="H104" s="48" t="s">
        <x:v>82</x:v>
      </x:c>
      <x:c r="I104" s="33" t="s">
        <x:v>83</x:v>
      </x:c>
      <x:c r="J104" s="32">
        <x:v>46055</x:v>
      </x:c>
      <x:c r="K104" s="22" t="s">
        <x:v>21</x:v>
      </x:c>
      <x:c r="XFB104" s="1"/>
    </x:row>
    <x:row r="105" s="22" customFormat="1" hidden="1">
      <x:c r="A105" s="34" t="s">
        <x:v>94</x:v>
      </x:c>
      <x:c r="B105" s="32">
        <x:v>46054</x:v>
      </x:c>
      <x:c r="C105" s="45" t="str">
        <x:f t="shared" si="1"/>
        <x:v>FEVEREIRO</x:v>
      </x:c>
      <x:c r="D105" s="34" t="s">
        <x:v>127</x:v>
      </x:c>
      <x:c r="E105" s="34" t="s">
        <x:v>90</x:v>
      </x:c>
      <x:c r="F105" s="34" t="s">
        <x:v>68</x:v>
      </x:c>
      <x:c r="G105" s="49">
        <x:v>9168.39</x:v>
      </x:c>
      <x:c r="H105" s="48" t="s">
        <x:v>91</x:v>
      </x:c>
      <x:c r="I105" s="33" t="s">
        <x:v>83</x:v>
      </x:c>
      <x:c r="J105" s="32">
        <x:v>46054</x:v>
      </x:c>
      <x:c r="K105" s="22" t="s">
        <x:v>21</x:v>
      </x:c>
      <x:c r="XFB105" s="1"/>
    </x:row>
    <x:row r="106" s="22" customFormat="1" hidden="1">
      <x:c r="A106" s="34" t="s">
        <x:v>96</x:v>
      </x:c>
      <x:c r="B106" s="32">
        <x:v>46023</x:v>
      </x:c>
      <x:c r="C106" s="45" t="str">
        <x:f t="shared" si="1"/>
        <x:v>JANEIRO</x:v>
      </x:c>
      <x:c r="D106" s="34" t="s">
        <x:v>93</x:v>
      </x:c>
      <x:c r="E106" s="34" t="s">
        <x:v>81</x:v>
      </x:c>
      <x:c r="F106" s="34" t="s">
        <x:v>68</x:v>
      </x:c>
      <x:c r="G106" s="49">
        <x:v>-400</x:v>
      </x:c>
      <x:c r="H106" s="48" t="s">
        <x:v>82</x:v>
      </x:c>
      <x:c r="I106" s="33" t="s">
        <x:v>83</x:v>
      </x:c>
      <x:c r="J106" s="32">
        <x:v>46053</x:v>
      </x:c>
      <x:c r="K106" s="22" t="s">
        <x:v>21</x:v>
      </x:c>
      <x:c r="XFB106" s="1"/>
    </x:row>
    <x:row r="107" s="22" customFormat="1" hidden="1">
      <x:c r="A107" s="34" t="s">
        <x:v>105</x:v>
      </x:c>
      <x:c r="B107" s="32">
        <x:v>46023</x:v>
      </x:c>
      <x:c r="C107" s="45" t="str">
        <x:f t="shared" si="1"/>
        <x:v>JANEIRO</x:v>
      </x:c>
      <x:c r="D107" s="34" t="s">
        <x:v>106</x:v>
      </x:c>
      <x:c r="E107" s="34" t="s">
        <x:v>90</x:v>
      </x:c>
      <x:c r="F107" s="34" t="s">
        <x:v>68</x:v>
      </x:c>
      <x:c r="G107" s="49">
        <x:v>-65</x:v>
      </x:c>
      <x:c r="H107" s="48" t="s">
        <x:v>82</x:v>
      </x:c>
      <x:c r="I107" s="33" t="s">
        <x:v>83</x:v>
      </x:c>
      <x:c r="J107" s="32">
        <x:v>46052</x:v>
      </x:c>
      <x:c r="K107" s="22" t="s">
        <x:v>21</x:v>
      </x:c>
      <x:c r="XFB107" s="1"/>
    </x:row>
    <x:row r="108" s="22" customFormat="1" hidden="1">
      <x:c r="A108" s="34" t="s">
        <x:v>98</x:v>
      </x:c>
      <x:c r="B108" s="32">
        <x:v>46023</x:v>
      </x:c>
      <x:c r="C108" s="45" t="str">
        <x:f t="shared" si="1"/>
        <x:v>JANEIRO</x:v>
      </x:c>
      <x:c r="D108" s="34" t="s">
        <x:v>93</x:v>
      </x:c>
      <x:c r="E108" s="34" t="s">
        <x:v>81</x:v>
      </x:c>
      <x:c r="F108" s="34" t="s">
        <x:v>68</x:v>
      </x:c>
      <x:c r="G108" s="49">
        <x:v>-400</x:v>
      </x:c>
      <x:c r="H108" s="48" t="s">
        <x:v>82</x:v>
      </x:c>
      <x:c r="I108" s="33" t="s">
        <x:v>83</x:v>
      </x:c>
      <x:c r="J108" s="32">
        <x:v>46049</x:v>
      </x:c>
      <x:c r="K108" s="22" t="s">
        <x:v>21</x:v>
      </x:c>
      <x:c r="XFB108" s="1"/>
    </x:row>
    <x:row r="109" s="22" customFormat="1" hidden="1">
      <x:c r="A109" s="34" t="s">
        <x:v>158</x:v>
      </x:c>
      <x:c r="B109" s="32">
        <x:v>46023</x:v>
      </x:c>
      <x:c r="C109" s="45" t="str">
        <x:f t="shared" si="1"/>
        <x:v>JANEIRO</x:v>
      </x:c>
      <x:c r="D109" s="34" t="s">
        <x:v>132</x:v>
      </x:c>
      <x:c r="E109" s="34" t="s">
        <x:v>133</x:v>
      </x:c>
      <x:c r="F109" s="34" t="s">
        <x:v>68</x:v>
      </x:c>
      <x:c r="G109" s="49">
        <x:v>-2397.87</x:v>
      </x:c>
      <x:c r="H109" s="48" t="s">
        <x:v>82</x:v>
      </x:c>
      <x:c r="I109" s="33" t="s">
        <x:v>83</x:v>
      </x:c>
      <x:c r="J109" s="32">
        <x:v>46049</x:v>
      </x:c>
      <x:c r="K109" s="22" t="s">
        <x:v>21</x:v>
      </x:c>
      <x:c r="XFB109" s="1"/>
    </x:row>
    <x:row r="110" s="22" customFormat="1" ht="18" hidden="1" customHeight="1">
      <x:c r="A110" s="34" t="s">
        <x:v>88</x:v>
      </x:c>
      <x:c r="B110" s="32">
        <x:v>46023</x:v>
      </x:c>
      <x:c r="C110" s="45" t="str">
        <x:f t="shared" si="1"/>
        <x:v>JANEIRO</x:v>
      </x:c>
      <x:c r="D110" s="34" t="s">
        <x:v>127</x:v>
      </x:c>
      <x:c r="E110" s="34" t="s">
        <x:v>90</x:v>
      </x:c>
      <x:c r="F110" s="34" t="s">
        <x:v>68</x:v>
      </x:c>
      <x:c r="G110" s="49">
        <x:v>9056.64</x:v>
      </x:c>
      <x:c r="H110" s="48" t="s">
        <x:v>91</x:v>
      </x:c>
      <x:c r="I110" s="33" t="s">
        <x:v>83</x:v>
      </x:c>
      <x:c r="J110" s="32">
        <x:v>46049</x:v>
      </x:c>
      <x:c r="K110" s="22" t="s">
        <x:v>21</x:v>
      </x:c>
      <x:c r="XFB110" s="1"/>
    </x:row>
    <x:row r="111" s="22" customFormat="1" hidden="1">
      <x:c r="A111" s="34" t="s">
        <x:v>94</x:v>
      </x:c>
      <x:c r="B111" s="32">
        <x:v>46023</x:v>
      </x:c>
      <x:c r="C111" s="45" t="str">
        <x:f t="shared" si="1"/>
        <x:v>JANEIRO</x:v>
      </x:c>
      <x:c r="D111" s="34" t="s">
        <x:v>127</x:v>
      </x:c>
      <x:c r="E111" s="34" t="s">
        <x:v>90</x:v>
      </x:c>
      <x:c r="F111" s="34" t="s">
        <x:v>68</x:v>
      </x:c>
      <x:c r="G111" s="49">
        <x:v>9187.44</x:v>
      </x:c>
      <x:c r="H111" s="48" t="s">
        <x:v>91</x:v>
      </x:c>
      <x:c r="I111" s="33" t="s">
        <x:v>83</x:v>
      </x:c>
      <x:c r="J111" s="32">
        <x:v>46046</x:v>
      </x:c>
      <x:c r="K111" s="22" t="s">
        <x:v>21</x:v>
      </x:c>
      <x:c r="XFB111" s="1"/>
    </x:row>
    <x:row r="112" s="22" customFormat="1" hidden="1">
      <x:c r="A112" s="34" t="s">
        <x:v>100</x:v>
      </x:c>
      <x:c r="B112" s="32">
        <x:v>46023</x:v>
      </x:c>
      <x:c r="C112" s="45" t="str">
        <x:f t="shared" si="1"/>
        <x:v>JANEIRO</x:v>
      </x:c>
      <x:c r="D112" s="34" t="s">
        <x:v>93</x:v>
      </x:c>
      <x:c r="E112" s="34" t="s">
        <x:v>81</x:v>
      </x:c>
      <x:c r="F112" s="34" t="s">
        <x:v>68</x:v>
      </x:c>
      <x:c r="G112" s="49">
        <x:v>-400</x:v>
      </x:c>
      <x:c r="H112" s="48" t="s">
        <x:v>82</x:v>
      </x:c>
      <x:c r="I112" s="33" t="s">
        <x:v>83</x:v>
      </x:c>
      <x:c r="J112" s="32">
        <x:v>46042</x:v>
      </x:c>
      <x:c r="K112" s="22" t="s">
        <x:v>21</x:v>
      </x:c>
      <x:c r="XFB112" s="1"/>
    </x:row>
    <x:row r="113" s="22" customFormat="1" hidden="1">
      <x:c r="A113" s="34" t="s">
        <x:v>88</x:v>
      </x:c>
      <x:c r="B113" s="32">
        <x:v>46023</x:v>
      </x:c>
      <x:c r="C113" s="45" t="str">
        <x:f t="shared" si="1"/>
        <x:v>JANEIRO</x:v>
      </x:c>
      <x:c r="D113" s="34" t="s">
        <x:v>127</x:v>
      </x:c>
      <x:c r="E113" s="34" t="s">
        <x:v>90</x:v>
      </x:c>
      <x:c r="F113" s="34" t="s">
        <x:v>68</x:v>
      </x:c>
      <x:c r="G113" s="49">
        <x:v>9113.89</x:v>
      </x:c>
      <x:c r="H113" s="48" t="s">
        <x:v>91</x:v>
      </x:c>
      <x:c r="I113" s="33" t="s">
        <x:v>83</x:v>
      </x:c>
      <x:c r="J113" s="32">
        <x:v>46042</x:v>
      </x:c>
      <x:c r="K113" s="22" t="s">
        <x:v>21</x:v>
      </x:c>
      <x:c r="XFB113" s="1"/>
    </x:row>
    <x:row r="114" s="22" customFormat="1" hidden="1">
      <x:c r="A114" s="34" t="s">
        <x:v>94</x:v>
      </x:c>
      <x:c r="B114" s="32">
        <x:v>46023</x:v>
      </x:c>
      <x:c r="C114" s="45" t="str">
        <x:f t="shared" si="1"/>
        <x:v>JANEIRO</x:v>
      </x:c>
      <x:c r="D114" s="34" t="s">
        <x:v>127</x:v>
      </x:c>
      <x:c r="E114" s="34" t="s">
        <x:v>90</x:v>
      </x:c>
      <x:c r="F114" s="34" t="s">
        <x:v>68</x:v>
      </x:c>
      <x:c r="G114" s="49">
        <x:v>9132.94</x:v>
      </x:c>
      <x:c r="H114" s="48" t="s">
        <x:v>91</x:v>
      </x:c>
      <x:c r="I114" s="33" t="s">
        <x:v>83</x:v>
      </x:c>
      <x:c r="J114" s="32">
        <x:v>46040</x:v>
      </x:c>
      <x:c r="K114" s="22" t="s">
        <x:v>21</x:v>
      </x:c>
      <x:c r="XFB114" s="1"/>
    </x:row>
    <x:row r="115" s="22" customFormat="1" ht="18" hidden="1" customHeight="1">
      <x:c r="A115" s="34" t="s">
        <x:v>108</x:v>
      </x:c>
      <x:c r="B115" s="32">
        <x:v>46023</x:v>
      </x:c>
      <x:c r="C115" s="45" t="str">
        <x:f t="shared" si="1"/>
        <x:v>JANEIRO</x:v>
      </x:c>
      <x:c r="D115" s="34" t="s">
        <x:v>93</x:v>
      </x:c>
      <x:c r="E115" s="34" t="s">
        <x:v>81</x:v>
      </x:c>
      <x:c r="F115" s="34" t="s">
        <x:v>68</x:v>
      </x:c>
      <x:c r="G115" s="49">
        <x:v>-400</x:v>
      </x:c>
      <x:c r="H115" s="48" t="s">
        <x:v>82</x:v>
      </x:c>
      <x:c r="I115" s="33" t="s">
        <x:v>83</x:v>
      </x:c>
      <x:c r="J115" s="32">
        <x:v>46041</x:v>
      </x:c>
      <x:c r="K115" s="22" t="s">
        <x:v>21</x:v>
      </x:c>
      <x:c r="XFB115" s="1"/>
    </x:row>
    <x:row r="116" s="22" customFormat="1" hidden="1">
      <x:c r="A116" s="34" t="s">
        <x:v>87</x:v>
      </x:c>
      <x:c r="B116" s="32">
        <x:v>46023</x:v>
      </x:c>
      <x:c r="C116" s="45" t="str">
        <x:f t="shared" si="1"/>
        <x:v>JANEIRO</x:v>
      </x:c>
      <x:c r="D116" s="34" t="s">
        <x:v>85</x:v>
      </x:c>
      <x:c r="E116" s="34" t="s">
        <x:v>87</x:v>
      </x:c>
      <x:c r="F116" s="34" t="s">
        <x:v>68</x:v>
      </x:c>
      <x:c r="G116" s="49">
        <x:v>-15164.66</x:v>
      </x:c>
      <x:c r="H116" s="48" t="s">
        <x:v>82</x:v>
      </x:c>
      <x:c r="I116" s="33" t="s">
        <x:v>83</x:v>
      </x:c>
      <x:c r="J116" s="32">
        <x:v>46038</x:v>
      </x:c>
      <x:c r="K116" s="22" t="s">
        <x:v>21</x:v>
      </x:c>
      <x:c r="XFB116" s="1"/>
    </x:row>
    <x:row r="117" s="22" customFormat="1" ht="18" hidden="1" customHeight="1">
      <x:c r="A117" s="34" t="s">
        <x:v>101</x:v>
      </x:c>
      <x:c r="B117" s="32">
        <x:v>46023</x:v>
      </x:c>
      <x:c r="C117" s="45" t="str">
        <x:f t="shared" si="1"/>
        <x:v>JANEIRO</x:v>
      </x:c>
      <x:c r="D117" s="34" t="s">
        <x:v>102</x:v>
      </x:c>
      <x:c r="E117" s="34" t="s">
        <x:v>103</x:v>
      </x:c>
      <x:c r="F117" s="34" t="s">
        <x:v>68</x:v>
      </x:c>
      <x:c r="G117" s="49">
        <x:v>-1931.28</x:v>
      </x:c>
      <x:c r="H117" s="48" t="s">
        <x:v>82</x:v>
      </x:c>
      <x:c r="I117" s="33" t="s">
        <x:v>83</x:v>
      </x:c>
      <x:c r="J117" s="32">
        <x:v>46037</x:v>
      </x:c>
      <x:c r="K117" s="22" t="s">
        <x:v>21</x:v>
      </x:c>
      <x:c r="XFB117" s="1"/>
    </x:row>
    <x:row r="118" s="22" customFormat="1" ht="18" hidden="1" customHeight="1">
      <x:c r="A118" s="34" t="s">
        <x:v>104</x:v>
      </x:c>
      <x:c r="B118" s="32">
        <x:v>46023</x:v>
      </x:c>
      <x:c r="C118" s="45" t="str">
        <x:f t="shared" si="1"/>
        <x:v>JANEIRO</x:v>
      </x:c>
      <x:c r="D118" s="34" t="s">
        <x:v>102</x:v>
      </x:c>
      <x:c r="E118" s="34" t="s">
        <x:v>103</x:v>
      </x:c>
      <x:c r="F118" s="34" t="s">
        <x:v>68</x:v>
      </x:c>
      <x:c r="G118" s="49">
        <x:v>-109.59</x:v>
      </x:c>
      <x:c r="H118" s="48" t="s">
        <x:v>82</x:v>
      </x:c>
      <x:c r="I118" s="33" t="s">
        <x:v>83</x:v>
      </x:c>
      <x:c r="J118" s="32">
        <x:v>46037</x:v>
      </x:c>
      <x:c r="K118" s="22" t="s">
        <x:v>21</x:v>
      </x:c>
      <x:c r="XFB118" s="1"/>
    </x:row>
    <x:row r="119" s="22" customFormat="1" ht="18" hidden="1" customHeight="1">
      <x:c r="A119" s="34" t="s">
        <x:v>122</x:v>
      </x:c>
      <x:c r="B119" s="32">
        <x:v>46023</x:v>
      </x:c>
      <x:c r="C119" s="45" t="str">
        <x:f t="shared" si="1"/>
        <x:v>JANEIRO</x:v>
      </x:c>
      <x:c r="D119" s="34" t="s">
        <x:v>93</x:v>
      </x:c>
      <x:c r="E119" s="34" t="s">
        <x:v>81</x:v>
      </x:c>
      <x:c r="F119" s="34" t="s">
        <x:v>68</x:v>
      </x:c>
      <x:c r="G119" s="49">
        <x:v>-400</x:v>
      </x:c>
      <x:c r="H119" s="48" t="s">
        <x:v>82</x:v>
      </x:c>
      <x:c r="I119" s="33" t="s">
        <x:v>83</x:v>
      </x:c>
      <x:c r="J119" s="32">
        <x:v>46036</x:v>
      </x:c>
      <x:c r="K119" s="22" t="s">
        <x:v>21</x:v>
      </x:c>
      <x:c r="XFB119" s="1"/>
    </x:row>
    <x:row r="120" s="22" customFormat="1" hidden="1">
      <x:c r="A120" s="34" t="s">
        <x:v>88</x:v>
      </x:c>
      <x:c r="B120" s="32">
        <x:v>46023</x:v>
      </x:c>
      <x:c r="C120" s="45" t="str">
        <x:f t="shared" si="1"/>
        <x:v>JANEIRO</x:v>
      </x:c>
      <x:c r="D120" s="34" t="s">
        <x:v>127</x:v>
      </x:c>
      <x:c r="E120" s="34" t="s">
        <x:v>90</x:v>
      </x:c>
      <x:c r="F120" s="34" t="s">
        <x:v>68</x:v>
      </x:c>
      <x:c r="G120" s="49">
        <x:v>9149.2999999999993</x:v>
      </x:c>
      <x:c r="H120" s="48" t="s">
        <x:v>91</x:v>
      </x:c>
      <x:c r="I120" s="33" t="s">
        <x:v>83</x:v>
      </x:c>
      <x:c r="J120" s="32">
        <x:v>46036</x:v>
      </x:c>
      <x:c r="K120" s="22" t="s">
        <x:v>21</x:v>
      </x:c>
      <x:c r="XFB120" s="1"/>
    </x:row>
    <x:row r="121" s="22" customFormat="1" hidden="1">
      <x:c r="A121" s="34" t="s">
        <x:v>159</x:v>
      </x:c>
      <x:c r="B121" s="32">
        <x:v>46023</x:v>
      </x:c>
      <x:c r="C121" s="45" t="str">
        <x:f t="shared" si="1"/>
        <x:v>JANEIRO</x:v>
      </x:c>
      <x:c r="D121" s="34" t="s">
        <x:v>138</x:v>
      </x:c>
      <x:c r="E121" s="34" t="s">
        <x:v>139</x:v>
      </x:c>
      <x:c r="F121" s="34" t="s">
        <x:v>68</x:v>
      </x:c>
      <x:c r="G121" s="49">
        <x:v>-8363.9</x:v>
      </x:c>
      <x:c r="H121" s="48" t="s">
        <x:v>82</x:v>
      </x:c>
      <x:c r="I121" s="33" t="s">
        <x:v>83</x:v>
      </x:c>
      <x:c r="J121" s="32">
        <x:v>46035</x:v>
      </x:c>
      <x:c r="K121" s="22" t="s">
        <x:v>21</x:v>
      </x:c>
      <x:c r="XFB121" s="1"/>
    </x:row>
    <x:row r="122" s="22" customFormat="1" hidden="1">
      <x:c r="A122" s="34" t="s">
        <x:v>119</x:v>
      </x:c>
      <x:c r="B122" s="32">
        <x:v>46023</x:v>
      </x:c>
      <x:c r="C122" s="45" t="str">
        <x:f t="shared" si="1"/>
        <x:v>JANEIRO</x:v>
      </x:c>
      <x:c r="D122" s="34" t="s">
        <x:v>120</x:v>
      </x:c>
      <x:c r="E122" s="34" t="s">
        <x:v>81</x:v>
      </x:c>
      <x:c r="F122" s="34" t="s">
        <x:v>68</x:v>
      </x:c>
      <x:c r="G122" s="49">
        <x:v>-10000</x:v>
      </x:c>
      <x:c r="H122" s="48" t="s">
        <x:v>82</x:v>
      </x:c>
      <x:c r="I122" s="33" t="s">
        <x:v>83</x:v>
      </x:c>
      <x:c r="J122" s="32">
        <x:v>46034</x:v>
      </x:c>
      <x:c r="K122" s="22" t="s">
        <x:v>21</x:v>
      </x:c>
      <x:c r="XFB122" s="1"/>
    </x:row>
    <x:row r="123" s="22" customFormat="1" hidden="1">
      <x:c r="A123" s="34" t="s">
        <x:v>123</x:v>
      </x:c>
      <x:c r="B123" s="32">
        <x:v>46023</x:v>
      </x:c>
      <x:c r="C123" s="45" t="str">
        <x:f t="shared" si="1"/>
        <x:v>JANEIRO</x:v>
      </x:c>
      <x:c r="D123" s="34" t="s">
        <x:v>93</x:v>
      </x:c>
      <x:c r="E123" s="34" t="s">
        <x:v>81</x:v>
      </x:c>
      <x:c r="F123" s="34" t="s">
        <x:v>68</x:v>
      </x:c>
      <x:c r="G123" s="49">
        <x:v>-400</x:v>
      </x:c>
      <x:c r="H123" s="48" t="s">
        <x:v>82</x:v>
      </x:c>
      <x:c r="I123" s="33" t="s">
        <x:v>83</x:v>
      </x:c>
      <x:c r="J123" s="32">
        <x:v>46032</x:v>
      </x:c>
      <x:c r="K123" s="22" t="s">
        <x:v>21</x:v>
      </x:c>
      <x:c r="XFB123" s="1"/>
    </x:row>
    <x:row r="124" s="22" customFormat="1" hidden="1">
      <x:c r="A124" s="34" t="s">
        <x:v>94</x:v>
      </x:c>
      <x:c r="B124" s="32">
        <x:v>46023</x:v>
      </x:c>
      <x:c r="C124" s="45" t="str">
        <x:f t="shared" si="1"/>
        <x:v>JANEIRO</x:v>
      </x:c>
      <x:c r="D124" s="34" t="s">
        <x:v>127</x:v>
      </x:c>
      <x:c r="E124" s="34" t="s">
        <x:v>90</x:v>
      </x:c>
      <x:c r="F124" s="34" t="s">
        <x:v>68</x:v>
      </x:c>
      <x:c r="G124" s="49">
        <x:v>9143.84</x:v>
      </x:c>
      <x:c r="H124" s="48" t="s">
        <x:v>91</x:v>
      </x:c>
      <x:c r="I124" s="33" t="s">
        <x:v>83</x:v>
      </x:c>
      <x:c r="J124" s="32">
        <x:v>46032</x:v>
      </x:c>
      <x:c r="K124" s="22" t="s">
        <x:v>21</x:v>
      </x:c>
      <x:c r="XFB124" s="1"/>
    </x:row>
    <x:row r="125" s="22" customFormat="1" hidden="1">
      <x:c r="A125" s="34" t="s">
        <x:v>160</x:v>
      </x:c>
      <x:c r="B125" s="32">
        <x:v>46023</x:v>
      </x:c>
      <x:c r="C125" s="45" t="str">
        <x:f t="shared" si="1"/>
        <x:v>JANEIRO</x:v>
      </x:c>
      <x:c r="D125" s="34" t="s">
        <x:v>85</x:v>
      </x:c>
      <x:c r="E125" s="34" t="s">
        <x:v>81</x:v>
      </x:c>
      <x:c r="F125" s="34" t="s">
        <x:v>68</x:v>
      </x:c>
      <x:c r="G125" s="49">
        <x:v>-80</x:v>
      </x:c>
      <x:c r="H125" s="48" t="s">
        <x:v>82</x:v>
      </x:c>
      <x:c r="I125" s="33" t="s">
        <x:v>83</x:v>
      </x:c>
      <x:c r="J125" s="32">
        <x:v>46032</x:v>
      </x:c>
      <x:c r="K125" s="22" t="s">
        <x:v>21</x:v>
      </x:c>
      <x:c r="XFB125" s="1"/>
    </x:row>
    <x:row r="126" s="22" customFormat="1" hidden="1">
      <x:c r="A126" s="34" t="s">
        <x:v>118</x:v>
      </x:c>
      <x:c r="B126" s="32">
        <x:v>46023</x:v>
      </x:c>
      <x:c r="C126" s="45" t="str">
        <x:f t="shared" si="1"/>
        <x:v>JANEIRO</x:v>
      </x:c>
      <x:c r="D126" s="34" t="s">
        <x:v>85</x:v>
      </x:c>
      <x:c r="E126" s="34" t="s">
        <x:v>118</x:v>
      </x:c>
      <x:c r="F126" s="34" t="s">
        <x:v>68</x:v>
      </x:c>
      <x:c r="G126" s="49">
        <x:v>-57</x:v>
      </x:c>
      <x:c r="H126" s="48" t="s">
        <x:v>82</x:v>
      </x:c>
      <x:c r="I126" s="33" t="s">
        <x:v>83</x:v>
      </x:c>
      <x:c r="J126" s="32">
        <x:v>46029</x:v>
      </x:c>
      <x:c r="K126" s="22" t="s">
        <x:v>21</x:v>
      </x:c>
      <x:c r="XFB126" s="1"/>
    </x:row>
    <x:row r="127" s="22" customFormat="1" hidden="1">
      <x:c r="A127" s="34" t="s">
        <x:v>144</x:v>
      </x:c>
      <x:c r="B127" s="32">
        <x:v>46023</x:v>
      </x:c>
      <x:c r="C127" s="45" t="str">
        <x:f t="shared" si="1"/>
        <x:v>JANEIRO</x:v>
      </x:c>
      <x:c r="D127" s="34" t="s">
        <x:v>93</x:v>
      </x:c>
      <x:c r="E127" s="34" t="s">
        <x:v>81</x:v>
      </x:c>
      <x:c r="F127" s="34" t="s">
        <x:v>68</x:v>
      </x:c>
      <x:c r="G127" s="49">
        <x:v>-400</x:v>
      </x:c>
      <x:c r="H127" s="48" t="s">
        <x:v>82</x:v>
      </x:c>
      <x:c r="I127" s="33" t="s">
        <x:v>83</x:v>
      </x:c>
      <x:c r="J127" s="32">
        <x:v>46028</x:v>
      </x:c>
      <x:c r="K127" s="22" t="s">
        <x:v>21</x:v>
      </x:c>
      <x:c r="XFB127" s="1"/>
    </x:row>
    <x:row r="128" s="22" customFormat="1" hidden="1">
      <x:c r="A128" s="34" t="s">
        <x:v>145</x:v>
      </x:c>
      <x:c r="B128" s="32">
        <x:v>46023</x:v>
      </x:c>
      <x:c r="C128" s="45" t="str">
        <x:f t="shared" si="1"/>
        <x:v>JANEIRO</x:v>
      </x:c>
      <x:c r="D128" s="34" t="s">
        <x:v>146</x:v>
      </x:c>
      <x:c r="E128" s="34" t="s">
        <x:v>147</x:v>
      </x:c>
      <x:c r="F128" s="34" t="s">
        <x:v>68</x:v>
      </x:c>
      <x:c r="G128" s="49">
        <x:v>-2169.63</x:v>
      </x:c>
      <x:c r="H128" s="48" t="s">
        <x:v>82</x:v>
      </x:c>
      <x:c r="I128" s="33" t="s">
        <x:v>83</x:v>
      </x:c>
      <x:c r="J128" s="32">
        <x:v>46028</x:v>
      </x:c>
      <x:c r="K128" s="22" t="s">
        <x:v>21</x:v>
      </x:c>
      <x:c r="XFB128" s="1"/>
    </x:row>
    <x:row r="129" s="22" customFormat="1" hidden="1">
      <x:c r="A129" s="34" t="s">
        <x:v>151</x:v>
      </x:c>
      <x:c r="B129" s="32">
        <x:v>46023</x:v>
      </x:c>
      <x:c r="C129" s="45" t="str">
        <x:f t="shared" si="1"/>
        <x:v>JANEIRO</x:v>
      </x:c>
      <x:c r="D129" s="34" t="s">
        <x:v>127</x:v>
      </x:c>
      <x:c r="E129" s="34" t="s">
        <x:v>90</x:v>
      </x:c>
      <x:c r="F129" s="34" t="s">
        <x:v>68</x:v>
      </x:c>
      <x:c r="G129" s="49">
        <x:v>9146.57</x:v>
      </x:c>
      <x:c r="H129" s="48" t="s">
        <x:v>91</x:v>
      </x:c>
      <x:c r="I129" s="33" t="s">
        <x:v>83</x:v>
      </x:c>
      <x:c r="J129" s="32">
        <x:v>46028</x:v>
      </x:c>
      <x:c r="K129" s="22" t="s">
        <x:v>21</x:v>
      </x:c>
      <x:c r="XFB129" s="1"/>
    </x:row>
    <x:row r="130" s="22" customFormat="1" hidden="1">
      <x:c r="A130" s="34" t="s">
        <x:v>94</x:v>
      </x:c>
      <x:c r="B130" s="32">
        <x:v>46023</x:v>
      </x:c>
      <x:c r="C130" s="45" t="str">
        <x:f t="shared" ref="C130:C193" si="2">UPPER(TEXT(B130,"MMMM"))</x:f>
        <x:v>JANUARY</x:v>
      </x:c>
      <x:c r="D130" s="34" t="s">
        <x:v>127</x:v>
      </x:c>
      <x:c r="E130" s="34" t="s">
        <x:v>90</x:v>
      </x:c>
      <x:c r="F130" s="34" t="s">
        <x:v>68</x:v>
      </x:c>
      <x:c r="G130" s="49">
        <x:v>8991.24</x:v>
      </x:c>
      <x:c r="H130" s="48" t="s">
        <x:v>91</x:v>
      </x:c>
      <x:c r="I130" s="33" t="s">
        <x:v>83</x:v>
      </x:c>
      <x:c r="J130" s="32">
        <x:v>46025</x:v>
      </x:c>
      <x:c r="K130" s="22" t="s">
        <x:v>21</x:v>
      </x:c>
      <x:c r="XFB130" s="1"/>
    </x:row>
    <x:row r="131" s="22" customFormat="1" hidden="1">
      <x:c r="A131" s="34" t="s">
        <x:v>126</x:v>
      </x:c>
      <x:c r="B131" s="32">
        <x:v>46023</x:v>
      </x:c>
      <x:c r="C131" s="45" t="str">
        <x:f t="shared" si="2"/>
        <x:v>JANEIRO</x:v>
      </x:c>
      <x:c r="D131" s="34" t="s">
        <x:v>93</x:v>
      </x:c>
      <x:c r="E131" s="34" t="s">
        <x:v>81</x:v>
      </x:c>
      <x:c r="F131" s="34" t="s">
        <x:v>68</x:v>
      </x:c>
      <x:c r="G131" s="49">
        <x:v>-400</x:v>
      </x:c>
      <x:c r="H131" s="48" t="s">
        <x:v>82</x:v>
      </x:c>
      <x:c r="I131" s="33" t="s">
        <x:v>83</x:v>
      </x:c>
      <x:c r="J131" s="32">
        <x:v>46025</x:v>
      </x:c>
      <x:c r="K131" s="22" t="s">
        <x:v>21</x:v>
      </x:c>
      <x:c r="XFB131" s="1"/>
    </x:row>
    <x:row r="132" s="22" customFormat="1" hidden="1">
      <x:c r="A132" s="34" t="s">
        <x:v>94</x:v>
      </x:c>
      <x:c r="B132" s="32">
        <x:v>46054</x:v>
      </x:c>
      <x:c r="C132" s="45" t="str">
        <x:f t="shared" si="2"/>
        <x:v>FEVEREIRO</x:v>
      </x:c>
      <x:c r="D132" s="34" t="s">
        <x:v>127</x:v>
      </x:c>
      <x:c r="E132" s="34" t="s">
        <x:v>90</x:v>
      </x:c>
      <x:c r="F132" s="34" t="s">
        <x:v>68</x:v>
      </x:c>
      <x:c r="G132" s="49">
        <x:v>9168.39</x:v>
      </x:c>
      <x:c r="H132" s="48" t="s">
        <x:v>91</x:v>
      </x:c>
      <x:c r="I132" s="33" t="s">
        <x:v>83</x:v>
      </x:c>
      <x:c r="J132" s="32">
        <x:v>46054</x:v>
      </x:c>
      <x:c r="K132" s="22" t="s">
        <x:v>21</x:v>
      </x:c>
      <x:c r="XFB132" s="1"/>
    </x:row>
    <x:row r="133" s="22" customFormat="1" hidden="1">
      <x:c r="A133" s="34" t="s">
        <x:v>96</x:v>
      </x:c>
      <x:c r="B133" s="32">
        <x:v>46023</x:v>
      </x:c>
      <x:c r="C133" s="45" t="str">
        <x:f t="shared" si="2"/>
        <x:v>JANEIRO</x:v>
      </x:c>
      <x:c r="D133" s="34" t="s">
        <x:v>93</x:v>
      </x:c>
      <x:c r="E133" s="34" t="s">
        <x:v>81</x:v>
      </x:c>
      <x:c r="F133" s="34" t="s">
        <x:v>68</x:v>
      </x:c>
      <x:c r="G133" s="49">
        <x:v>-400</x:v>
      </x:c>
      <x:c r="H133" s="48" t="s">
        <x:v>82</x:v>
      </x:c>
      <x:c r="I133" s="33" t="s">
        <x:v>83</x:v>
      </x:c>
      <x:c r="J133" s="32">
        <x:v>46053</x:v>
      </x:c>
      <x:c r="K133" s="22" t="s">
        <x:v>21</x:v>
      </x:c>
      <x:c r="XFB133" s="1"/>
    </x:row>
    <x:row r="134" s="22" customFormat="1" hidden="1">
      <x:c r="A134" s="34" t="s">
        <x:v>105</x:v>
      </x:c>
      <x:c r="B134" s="32">
        <x:v>46023</x:v>
      </x:c>
      <x:c r="C134" s="45" t="str">
        <x:f t="shared" si="2"/>
        <x:v>JANEIRO</x:v>
      </x:c>
      <x:c r="D134" s="34" t="s">
        <x:v>106</x:v>
      </x:c>
      <x:c r="E134" s="34" t="s">
        <x:v>90</x:v>
      </x:c>
      <x:c r="F134" s="34" t="s">
        <x:v>68</x:v>
      </x:c>
      <x:c r="G134" s="49">
        <x:v>-65</x:v>
      </x:c>
      <x:c r="H134" s="48" t="s">
        <x:v>82</x:v>
      </x:c>
      <x:c r="I134" s="33" t="s">
        <x:v>83</x:v>
      </x:c>
      <x:c r="J134" s="32">
        <x:v>46052</x:v>
      </x:c>
      <x:c r="K134" s="22" t="s">
        <x:v>21</x:v>
      </x:c>
      <x:c r="XFB134" s="1"/>
    </x:row>
    <x:row r="135" s="22" customFormat="1" hidden="1">
      <x:c r="A135" s="34" t="s">
        <x:v>98</x:v>
      </x:c>
      <x:c r="B135" s="32">
        <x:v>46023</x:v>
      </x:c>
      <x:c r="C135" s="45" t="str">
        <x:f t="shared" si="2"/>
        <x:v>JANEIRO</x:v>
      </x:c>
      <x:c r="D135" s="34" t="s">
        <x:v>93</x:v>
      </x:c>
      <x:c r="E135" s="34" t="s">
        <x:v>81</x:v>
      </x:c>
      <x:c r="F135" s="34" t="s">
        <x:v>68</x:v>
      </x:c>
      <x:c r="G135" s="49">
        <x:v>-400</x:v>
      </x:c>
      <x:c r="H135" s="48" t="s">
        <x:v>82</x:v>
      </x:c>
      <x:c r="I135" s="33" t="s">
        <x:v>83</x:v>
      </x:c>
      <x:c r="J135" s="32">
        <x:v>46049</x:v>
      </x:c>
      <x:c r="K135" s="22" t="s">
        <x:v>21</x:v>
      </x:c>
      <x:c r="XFB135" s="1"/>
    </x:row>
    <x:row r="136" s="22" customFormat="1" hidden="1">
      <x:c r="A136" s="34" t="s">
        <x:v>158</x:v>
      </x:c>
      <x:c r="B136" s="32">
        <x:v>46023</x:v>
      </x:c>
      <x:c r="C136" s="45" t="str">
        <x:f t="shared" si="2"/>
        <x:v>JANEIRO</x:v>
      </x:c>
      <x:c r="D136" s="34" t="s">
        <x:v>132</x:v>
      </x:c>
      <x:c r="E136" s="34" t="s">
        <x:v>133</x:v>
      </x:c>
      <x:c r="F136" s="34" t="s">
        <x:v>68</x:v>
      </x:c>
      <x:c r="G136" s="49">
        <x:v>-2397.87</x:v>
      </x:c>
      <x:c r="H136" s="48" t="s">
        <x:v>82</x:v>
      </x:c>
      <x:c r="I136" s="33" t="s">
        <x:v>83</x:v>
      </x:c>
      <x:c r="J136" s="32">
        <x:v>46049</x:v>
      </x:c>
      <x:c r="K136" s="22" t="s">
        <x:v>21</x:v>
      </x:c>
      <x:c r="XFB136" s="1"/>
    </x:row>
    <x:row r="137" s="22" customFormat="1" hidden="1">
      <x:c r="A137" s="34" t="s">
        <x:v>88</x:v>
      </x:c>
      <x:c r="B137" s="32">
        <x:v>46023</x:v>
      </x:c>
      <x:c r="C137" s="45" t="str">
        <x:f t="shared" si="2"/>
        <x:v>JANEIRO</x:v>
      </x:c>
      <x:c r="D137" s="34" t="s">
        <x:v>127</x:v>
      </x:c>
      <x:c r="E137" s="34" t="s">
        <x:v>90</x:v>
      </x:c>
      <x:c r="F137" s="34" t="s">
        <x:v>68</x:v>
      </x:c>
      <x:c r="G137" s="49">
        <x:v>9056.64</x:v>
      </x:c>
      <x:c r="H137" s="48" t="s">
        <x:v>91</x:v>
      </x:c>
      <x:c r="I137" s="33" t="s">
        <x:v>83</x:v>
      </x:c>
      <x:c r="J137" s="32">
        <x:v>46049</x:v>
      </x:c>
      <x:c r="K137" s="22" t="s">
        <x:v>21</x:v>
      </x:c>
      <x:c r="XFB137" s="1"/>
    </x:row>
    <x:row r="138" s="22" customFormat="1" hidden="1">
      <x:c r="A138" s="34" t="s">
        <x:v>94</x:v>
      </x:c>
      <x:c r="B138" s="32">
        <x:v>46023</x:v>
      </x:c>
      <x:c r="C138" s="45" t="str">
        <x:f t="shared" si="2"/>
        <x:v>JANEIRO</x:v>
      </x:c>
      <x:c r="D138" s="34" t="s">
        <x:v>127</x:v>
      </x:c>
      <x:c r="E138" s="34" t="s">
        <x:v>90</x:v>
      </x:c>
      <x:c r="F138" s="34" t="s">
        <x:v>68</x:v>
      </x:c>
      <x:c r="G138" s="49">
        <x:v>9187.44</x:v>
      </x:c>
      <x:c r="H138" s="48" t="s">
        <x:v>91</x:v>
      </x:c>
      <x:c r="I138" s="33" t="s">
        <x:v>83</x:v>
      </x:c>
      <x:c r="J138" s="32">
        <x:v>46046</x:v>
      </x:c>
      <x:c r="K138" s="22" t="s">
        <x:v>21</x:v>
      </x:c>
      <x:c r="XFB138" s="1"/>
    </x:row>
    <x:row r="139" s="22" customFormat="1" hidden="1">
      <x:c r="A139" s="34" t="s">
        <x:v>100</x:v>
      </x:c>
      <x:c r="B139" s="32">
        <x:v>46023</x:v>
      </x:c>
      <x:c r="C139" s="45" t="str">
        <x:f t="shared" si="2"/>
        <x:v>JANEIRO</x:v>
      </x:c>
      <x:c r="D139" s="34" t="s">
        <x:v>93</x:v>
      </x:c>
      <x:c r="E139" s="34" t="s">
        <x:v>81</x:v>
      </x:c>
      <x:c r="F139" s="34" t="s">
        <x:v>68</x:v>
      </x:c>
      <x:c r="G139" s="49">
        <x:v>-400</x:v>
      </x:c>
      <x:c r="H139" s="48" t="s">
        <x:v>82</x:v>
      </x:c>
      <x:c r="I139" s="33" t="s">
        <x:v>83</x:v>
      </x:c>
      <x:c r="J139" s="32">
        <x:v>46042</x:v>
      </x:c>
      <x:c r="K139" s="22" t="s">
        <x:v>21</x:v>
      </x:c>
      <x:c r="XFB139" s="1"/>
    </x:row>
    <x:row r="140" s="22" customFormat="1" hidden="1">
      <x:c r="A140" s="34" t="s">
        <x:v>88</x:v>
      </x:c>
      <x:c r="B140" s="32">
        <x:v>46023</x:v>
      </x:c>
      <x:c r="C140" s="45" t="str">
        <x:f t="shared" si="2"/>
        <x:v>JANEIRO</x:v>
      </x:c>
      <x:c r="D140" s="34" t="s">
        <x:v>127</x:v>
      </x:c>
      <x:c r="E140" s="34" t="s">
        <x:v>90</x:v>
      </x:c>
      <x:c r="F140" s="34" t="s">
        <x:v>68</x:v>
      </x:c>
      <x:c r="G140" s="49">
        <x:v>9113.89</x:v>
      </x:c>
      <x:c r="H140" s="48" t="s">
        <x:v>91</x:v>
      </x:c>
      <x:c r="I140" s="33" t="s">
        <x:v>83</x:v>
      </x:c>
      <x:c r="J140" s="32">
        <x:v>46042</x:v>
      </x:c>
      <x:c r="K140" s="22" t="s">
        <x:v>21</x:v>
      </x:c>
      <x:c r="XFB140" s="1"/>
    </x:row>
    <x:row r="141" s="22" customFormat="1" hidden="1">
      <x:c r="A141" s="34" t="s">
        <x:v>94</x:v>
      </x:c>
      <x:c r="B141" s="32">
        <x:v>46023</x:v>
      </x:c>
      <x:c r="C141" s="45" t="str">
        <x:f t="shared" si="2"/>
        <x:v>JANEIRO</x:v>
      </x:c>
      <x:c r="D141" s="34" t="s">
        <x:v>127</x:v>
      </x:c>
      <x:c r="E141" s="34" t="s">
        <x:v>90</x:v>
      </x:c>
      <x:c r="F141" s="34" t="s">
        <x:v>68</x:v>
      </x:c>
      <x:c r="G141" s="49">
        <x:v>9132.94</x:v>
      </x:c>
      <x:c r="H141" s="48" t="s">
        <x:v>91</x:v>
      </x:c>
      <x:c r="I141" s="33" t="s">
        <x:v>83</x:v>
      </x:c>
      <x:c r="J141" s="32">
        <x:v>46040</x:v>
      </x:c>
      <x:c r="K141" s="22" t="s">
        <x:v>21</x:v>
      </x:c>
      <x:c r="XFB141" s="1"/>
    </x:row>
    <x:row r="142" s="22" customFormat="1" hidden="1">
      <x:c r="A142" s="34" t="s">
        <x:v>108</x:v>
      </x:c>
      <x:c r="B142" s="32">
        <x:v>46023</x:v>
      </x:c>
      <x:c r="C142" s="45" t="str">
        <x:f t="shared" si="2"/>
        <x:v>JANEIRO</x:v>
      </x:c>
      <x:c r="D142" s="34" t="s">
        <x:v>93</x:v>
      </x:c>
      <x:c r="E142" s="34" t="s">
        <x:v>81</x:v>
      </x:c>
      <x:c r="F142" s="34" t="s">
        <x:v>68</x:v>
      </x:c>
      <x:c r="G142" s="49">
        <x:v>-400</x:v>
      </x:c>
      <x:c r="H142" s="48" t="s">
        <x:v>82</x:v>
      </x:c>
      <x:c r="I142" s="33" t="s">
        <x:v>83</x:v>
      </x:c>
      <x:c r="J142" s="32">
        <x:v>46041</x:v>
      </x:c>
      <x:c r="K142" s="22" t="s">
        <x:v>21</x:v>
      </x:c>
      <x:c r="XFB142" s="1"/>
    </x:row>
    <x:row r="143" s="22" customFormat="1" hidden="1">
      <x:c r="A143" s="34" t="s">
        <x:v>87</x:v>
      </x:c>
      <x:c r="B143" s="32">
        <x:v>46023</x:v>
      </x:c>
      <x:c r="C143" s="45" t="str">
        <x:f t="shared" si="2"/>
        <x:v>JANEIRO</x:v>
      </x:c>
      <x:c r="D143" s="34" t="s">
        <x:v>85</x:v>
      </x:c>
      <x:c r="E143" s="34" t="s">
        <x:v>87</x:v>
      </x:c>
      <x:c r="F143" s="34" t="s">
        <x:v>68</x:v>
      </x:c>
      <x:c r="G143" s="49">
        <x:v>-15164.66</x:v>
      </x:c>
      <x:c r="H143" s="48" t="s">
        <x:v>82</x:v>
      </x:c>
      <x:c r="I143" s="33" t="s">
        <x:v>83</x:v>
      </x:c>
      <x:c r="J143" s="32">
        <x:v>46038</x:v>
      </x:c>
      <x:c r="K143" s="22" t="s">
        <x:v>21</x:v>
      </x:c>
      <x:c r="XFB143" s="1"/>
    </x:row>
    <x:row r="144" s="22" customFormat="1" hidden="1">
      <x:c r="A144" s="34" t="s">
        <x:v>101</x:v>
      </x:c>
      <x:c r="B144" s="32">
        <x:v>46023</x:v>
      </x:c>
      <x:c r="C144" s="45" t="str">
        <x:f t="shared" si="2"/>
        <x:v>JANEIRO</x:v>
      </x:c>
      <x:c r="D144" s="34" t="s">
        <x:v>102</x:v>
      </x:c>
      <x:c r="E144" s="34" t="s">
        <x:v>103</x:v>
      </x:c>
      <x:c r="F144" s="34" t="s">
        <x:v>68</x:v>
      </x:c>
      <x:c r="G144" s="49">
        <x:v>-1931.28</x:v>
      </x:c>
      <x:c r="H144" s="48" t="s">
        <x:v>82</x:v>
      </x:c>
      <x:c r="I144" s="33" t="s">
        <x:v>83</x:v>
      </x:c>
      <x:c r="J144" s="32">
        <x:v>46037</x:v>
      </x:c>
      <x:c r="K144" s="22" t="s">
        <x:v>21</x:v>
      </x:c>
      <x:c r="XFB144" s="1"/>
    </x:row>
    <x:row r="145" s="22" customFormat="1" hidden="1">
      <x:c r="A145" s="34" t="s">
        <x:v>104</x:v>
      </x:c>
      <x:c r="B145" s="32">
        <x:v>46023</x:v>
      </x:c>
      <x:c r="C145" s="45" t="str">
        <x:f t="shared" si="2"/>
        <x:v>JANEIRO</x:v>
      </x:c>
      <x:c r="D145" s="34" t="s">
        <x:v>102</x:v>
      </x:c>
      <x:c r="E145" s="34" t="s">
        <x:v>103</x:v>
      </x:c>
      <x:c r="F145" s="34" t="s">
        <x:v>68</x:v>
      </x:c>
      <x:c r="G145" s="49">
        <x:v>-109.59</x:v>
      </x:c>
      <x:c r="H145" s="48" t="s">
        <x:v>82</x:v>
      </x:c>
      <x:c r="I145" s="33" t="s">
        <x:v>83</x:v>
      </x:c>
      <x:c r="J145" s="32">
        <x:v>46037</x:v>
      </x:c>
      <x:c r="K145" s="22" t="s">
        <x:v>21</x:v>
      </x:c>
      <x:c r="XFB145" s="1"/>
    </x:row>
    <x:row r="146" s="22" customFormat="1" hidden="1">
      <x:c r="A146" s="34" t="s">
        <x:v>122</x:v>
      </x:c>
      <x:c r="B146" s="32">
        <x:v>46023</x:v>
      </x:c>
      <x:c r="C146" s="45" t="str">
        <x:f t="shared" si="2"/>
        <x:v>JANEIRO</x:v>
      </x:c>
      <x:c r="D146" s="34" t="s">
        <x:v>93</x:v>
      </x:c>
      <x:c r="E146" s="34" t="s">
        <x:v>81</x:v>
      </x:c>
      <x:c r="F146" s="34" t="s">
        <x:v>68</x:v>
      </x:c>
      <x:c r="G146" s="49">
        <x:v>-400</x:v>
      </x:c>
      <x:c r="H146" s="48" t="s">
        <x:v>82</x:v>
      </x:c>
      <x:c r="I146" s="33" t="s">
        <x:v>83</x:v>
      </x:c>
      <x:c r="J146" s="32">
        <x:v>46036</x:v>
      </x:c>
      <x:c r="K146" s="22" t="s">
        <x:v>21</x:v>
      </x:c>
      <x:c r="XFB146" s="1"/>
    </x:row>
    <x:row r="147" s="22" customFormat="1" hidden="1">
      <x:c r="A147" s="34" t="s">
        <x:v>88</x:v>
      </x:c>
      <x:c r="B147" s="32">
        <x:v>46023</x:v>
      </x:c>
      <x:c r="C147" s="45" t="str">
        <x:f t="shared" si="2"/>
        <x:v>JANEIRO</x:v>
      </x:c>
      <x:c r="D147" s="34" t="s">
        <x:v>127</x:v>
      </x:c>
      <x:c r="E147" s="34" t="s">
        <x:v>90</x:v>
      </x:c>
      <x:c r="F147" s="34" t="s">
        <x:v>68</x:v>
      </x:c>
      <x:c r="G147" s="49">
        <x:v>9149.2999999999993</x:v>
      </x:c>
      <x:c r="H147" s="48" t="s">
        <x:v>91</x:v>
      </x:c>
      <x:c r="I147" s="33" t="s">
        <x:v>83</x:v>
      </x:c>
      <x:c r="J147" s="32">
        <x:v>46036</x:v>
      </x:c>
      <x:c r="K147" s="22" t="s">
        <x:v>21</x:v>
      </x:c>
      <x:c r="XFB147" s="1"/>
    </x:row>
    <x:row r="148" s="22" customFormat="1" hidden="1">
      <x:c r="A148" s="34" t="s">
        <x:v>159</x:v>
      </x:c>
      <x:c r="B148" s="32">
        <x:v>46023</x:v>
      </x:c>
      <x:c r="C148" s="45" t="str">
        <x:f t="shared" si="2"/>
        <x:v>JANEIRO</x:v>
      </x:c>
      <x:c r="D148" s="34" t="s">
        <x:v>138</x:v>
      </x:c>
      <x:c r="E148" s="34" t="s">
        <x:v>139</x:v>
      </x:c>
      <x:c r="F148" s="34" t="s">
        <x:v>68</x:v>
      </x:c>
      <x:c r="G148" s="49">
        <x:v>-8363.9</x:v>
      </x:c>
      <x:c r="H148" s="48" t="s">
        <x:v>82</x:v>
      </x:c>
      <x:c r="I148" s="33" t="s">
        <x:v>83</x:v>
      </x:c>
      <x:c r="J148" s="32">
        <x:v>46035</x:v>
      </x:c>
      <x:c r="K148" s="22" t="s">
        <x:v>21</x:v>
      </x:c>
      <x:c r="XFB148" s="1"/>
    </x:row>
    <x:row r="149" s="22" customFormat="1" hidden="1">
      <x:c r="A149" s="34" t="s">
        <x:v>119</x:v>
      </x:c>
      <x:c r="B149" s="32">
        <x:v>46023</x:v>
      </x:c>
      <x:c r="C149" s="45" t="str">
        <x:f t="shared" si="2"/>
        <x:v>JANEIRO</x:v>
      </x:c>
      <x:c r="D149" s="34" t="s">
        <x:v>120</x:v>
      </x:c>
      <x:c r="E149" s="34" t="s">
        <x:v>81</x:v>
      </x:c>
      <x:c r="F149" s="34" t="s">
        <x:v>68</x:v>
      </x:c>
      <x:c r="G149" s="49">
        <x:v>-10000</x:v>
      </x:c>
      <x:c r="H149" s="48" t="s">
        <x:v>82</x:v>
      </x:c>
      <x:c r="I149" s="33" t="s">
        <x:v>83</x:v>
      </x:c>
      <x:c r="J149" s="32">
        <x:v>46034</x:v>
      </x:c>
      <x:c r="K149" s="22" t="s">
        <x:v>21</x:v>
      </x:c>
      <x:c r="XFB149" s="1"/>
    </x:row>
    <x:row r="150" s="22" customFormat="1" hidden="1">
      <x:c r="A150" s="34" t="s">
        <x:v>123</x:v>
      </x:c>
      <x:c r="B150" s="32">
        <x:v>46023</x:v>
      </x:c>
      <x:c r="C150" s="45" t="str">
        <x:f t="shared" si="2"/>
        <x:v>JANEIRO</x:v>
      </x:c>
      <x:c r="D150" s="34" t="s">
        <x:v>93</x:v>
      </x:c>
      <x:c r="E150" s="34" t="s">
        <x:v>81</x:v>
      </x:c>
      <x:c r="F150" s="34" t="s">
        <x:v>68</x:v>
      </x:c>
      <x:c r="G150" s="49">
        <x:v>-400</x:v>
      </x:c>
      <x:c r="H150" s="48" t="s">
        <x:v>82</x:v>
      </x:c>
      <x:c r="I150" s="33" t="s">
        <x:v>83</x:v>
      </x:c>
      <x:c r="J150" s="32">
        <x:v>46032</x:v>
      </x:c>
      <x:c r="K150" s="22" t="s">
        <x:v>21</x:v>
      </x:c>
      <x:c r="XFB150" s="1"/>
    </x:row>
    <x:row r="151" s="22" customFormat="1" hidden="1">
      <x:c r="A151" s="34" t="s">
        <x:v>94</x:v>
      </x:c>
      <x:c r="B151" s="32">
        <x:v>46023</x:v>
      </x:c>
      <x:c r="C151" s="45" t="str">
        <x:f t="shared" si="2"/>
        <x:v>JANEIRO</x:v>
      </x:c>
      <x:c r="D151" s="34" t="s">
        <x:v>127</x:v>
      </x:c>
      <x:c r="E151" s="34" t="s">
        <x:v>90</x:v>
      </x:c>
      <x:c r="F151" s="34" t="s">
        <x:v>68</x:v>
      </x:c>
      <x:c r="G151" s="49">
        <x:v>9143.84</x:v>
      </x:c>
      <x:c r="H151" s="48" t="s">
        <x:v>91</x:v>
      </x:c>
      <x:c r="I151" s="33" t="s">
        <x:v>83</x:v>
      </x:c>
      <x:c r="J151" s="32">
        <x:v>46032</x:v>
      </x:c>
      <x:c r="K151" s="22" t="s">
        <x:v>21</x:v>
      </x:c>
      <x:c r="XFB151" s="1"/>
    </x:row>
    <x:row r="152" s="22" customFormat="1" hidden="1">
      <x:c r="A152" s="34" t="s">
        <x:v>160</x:v>
      </x:c>
      <x:c r="B152" s="32">
        <x:v>46023</x:v>
      </x:c>
      <x:c r="C152" s="45" t="str">
        <x:f t="shared" si="2"/>
        <x:v>JANEIRO</x:v>
      </x:c>
      <x:c r="D152" s="34" t="s">
        <x:v>85</x:v>
      </x:c>
      <x:c r="E152" s="34" t="s">
        <x:v>81</x:v>
      </x:c>
      <x:c r="F152" s="34" t="s">
        <x:v>68</x:v>
      </x:c>
      <x:c r="G152" s="49">
        <x:v>-80</x:v>
      </x:c>
      <x:c r="H152" s="48" t="s">
        <x:v>82</x:v>
      </x:c>
      <x:c r="I152" s="33" t="s">
        <x:v>83</x:v>
      </x:c>
      <x:c r="J152" s="32">
        <x:v>46032</x:v>
      </x:c>
      <x:c r="K152" s="22" t="s">
        <x:v>21</x:v>
      </x:c>
      <x:c r="XFB152" s="1"/>
    </x:row>
    <x:row r="153" s="22" customFormat="1" hidden="1">
      <x:c r="A153" s="34" t="s">
        <x:v>118</x:v>
      </x:c>
      <x:c r="B153" s="32">
        <x:v>46023</x:v>
      </x:c>
      <x:c r="C153" s="45" t="str">
        <x:f t="shared" si="2"/>
        <x:v>JANEIRO</x:v>
      </x:c>
      <x:c r="D153" s="34" t="s">
        <x:v>85</x:v>
      </x:c>
      <x:c r="E153" s="34" t="s">
        <x:v>118</x:v>
      </x:c>
      <x:c r="F153" s="34" t="s">
        <x:v>68</x:v>
      </x:c>
      <x:c r="G153" s="49">
        <x:v>-57</x:v>
      </x:c>
      <x:c r="H153" s="48" t="s">
        <x:v>82</x:v>
      </x:c>
      <x:c r="I153" s="33" t="s">
        <x:v>83</x:v>
      </x:c>
      <x:c r="J153" s="32">
        <x:v>46029</x:v>
      </x:c>
      <x:c r="K153" s="22" t="s">
        <x:v>21</x:v>
      </x:c>
      <x:c r="XFB153" s="1"/>
    </x:row>
    <x:row r="154" s="22" customFormat="1" hidden="1">
      <x:c r="A154" s="34" t="s">
        <x:v>144</x:v>
      </x:c>
      <x:c r="B154" s="32">
        <x:v>46023</x:v>
      </x:c>
      <x:c r="C154" s="45" t="str">
        <x:f t="shared" si="2"/>
        <x:v>JANEIRO</x:v>
      </x:c>
      <x:c r="D154" s="34" t="s">
        <x:v>93</x:v>
      </x:c>
      <x:c r="E154" s="34" t="s">
        <x:v>81</x:v>
      </x:c>
      <x:c r="F154" s="34" t="s">
        <x:v>68</x:v>
      </x:c>
      <x:c r="G154" s="49">
        <x:v>-400</x:v>
      </x:c>
      <x:c r="H154" s="48" t="s">
        <x:v>82</x:v>
      </x:c>
      <x:c r="I154" s="33" t="s">
        <x:v>83</x:v>
      </x:c>
      <x:c r="J154" s="32">
        <x:v>46028</x:v>
      </x:c>
      <x:c r="K154" s="22" t="s">
        <x:v>21</x:v>
      </x:c>
      <x:c r="XFB154" s="1"/>
    </x:row>
    <x:row r="155" s="22" customFormat="1" hidden="1">
      <x:c r="A155" s="34" t="s">
        <x:v>145</x:v>
      </x:c>
      <x:c r="B155" s="32">
        <x:v>46023</x:v>
      </x:c>
      <x:c r="C155" s="45" t="str">
        <x:f t="shared" si="2"/>
        <x:v>JANEIRO</x:v>
      </x:c>
      <x:c r="D155" s="34" t="s">
        <x:v>146</x:v>
      </x:c>
      <x:c r="E155" s="34" t="s">
        <x:v>147</x:v>
      </x:c>
      <x:c r="F155" s="34" t="s">
        <x:v>68</x:v>
      </x:c>
      <x:c r="G155" s="49">
        <x:v>-2169.63</x:v>
      </x:c>
      <x:c r="H155" s="48" t="s">
        <x:v>82</x:v>
      </x:c>
      <x:c r="I155" s="33" t="s">
        <x:v>83</x:v>
      </x:c>
      <x:c r="J155" s="32">
        <x:v>46028</x:v>
      </x:c>
      <x:c r="K155" s="22" t="s">
        <x:v>21</x:v>
      </x:c>
      <x:c r="XFB155" s="1"/>
    </x:row>
    <x:row r="156" s="22" customFormat="1" hidden="1">
      <x:c r="A156" s="34" t="s">
        <x:v>151</x:v>
      </x:c>
      <x:c r="B156" s="32">
        <x:v>46023</x:v>
      </x:c>
      <x:c r="C156" s="45" t="str">
        <x:f t="shared" si="2"/>
        <x:v>JANEIRO</x:v>
      </x:c>
      <x:c r="D156" s="34" t="s">
        <x:v>127</x:v>
      </x:c>
      <x:c r="E156" s="34" t="s">
        <x:v>90</x:v>
      </x:c>
      <x:c r="F156" s="34" t="s">
        <x:v>68</x:v>
      </x:c>
      <x:c r="G156" s="49">
        <x:v>9146.57</x:v>
      </x:c>
      <x:c r="H156" s="48" t="s">
        <x:v>91</x:v>
      </x:c>
      <x:c r="I156" s="33" t="s">
        <x:v>83</x:v>
      </x:c>
      <x:c r="J156" s="32">
        <x:v>46028</x:v>
      </x:c>
      <x:c r="K156" s="22" t="s">
        <x:v>21</x:v>
      </x:c>
      <x:c r="XFB156" s="1"/>
    </x:row>
    <x:row r="157" s="22" customFormat="1" hidden="1">
      <x:c r="A157" s="34" t="s">
        <x:v>94</x:v>
      </x:c>
      <x:c r="B157" s="32">
        <x:v>46023</x:v>
      </x:c>
      <x:c r="C157" s="45" t="str">
        <x:f t="shared" si="2"/>
        <x:v>JANEIRO</x:v>
      </x:c>
      <x:c r="D157" s="34" t="s">
        <x:v>127</x:v>
      </x:c>
      <x:c r="E157" s="34" t="s">
        <x:v>90</x:v>
      </x:c>
      <x:c r="F157" s="34" t="s">
        <x:v>68</x:v>
      </x:c>
      <x:c r="G157" s="49">
        <x:v>8991.24</x:v>
      </x:c>
      <x:c r="H157" s="48" t="s">
        <x:v>91</x:v>
      </x:c>
      <x:c r="I157" s="33" t="s">
        <x:v>83</x:v>
      </x:c>
      <x:c r="J157" s="32">
        <x:v>46025</x:v>
      </x:c>
      <x:c r="K157" s="22" t="s">
        <x:v>21</x:v>
      </x:c>
      <x:c r="XFB157" s="1"/>
    </x:row>
    <x:row r="158" s="22" customFormat="1" hidden="1">
      <x:c r="A158" s="34" t="s">
        <x:v>126</x:v>
      </x:c>
      <x:c r="B158" s="32">
        <x:v>46023</x:v>
      </x:c>
      <x:c r="C158" s="45" t="str">
        <x:f t="shared" si="2"/>
        <x:v>JANEIRO</x:v>
      </x:c>
      <x:c r="D158" s="34" t="s">
        <x:v>93</x:v>
      </x:c>
      <x:c r="E158" s="34" t="s">
        <x:v>81</x:v>
      </x:c>
      <x:c r="F158" s="34" t="s">
        <x:v>68</x:v>
      </x:c>
      <x:c r="G158" s="49">
        <x:v>-400</x:v>
      </x:c>
      <x:c r="H158" s="48" t="s">
        <x:v>82</x:v>
      </x:c>
      <x:c r="I158" s="33" t="s">
        <x:v>83</x:v>
      </x:c>
      <x:c r="J158" s="32">
        <x:v>46025</x:v>
      </x:c>
      <x:c r="K158" s="22" t="s">
        <x:v>21</x:v>
      </x:c>
      <x:c r="XFB158" s="1"/>
    </x:row>
    <x:row r="159">
      <x:c r="A159" s="34" t="s">
        <x:v>161</x:v>
      </x:c>
      <x:c r="B159" s="32">
        <x:v>46113</x:v>
      </x:c>
      <x:c r="C159" s="45" t="str">
        <x:f t="shared" si="2"/>
        <x:v>ABRIL</x:v>
      </x:c>
      <x:c r="D159" s="34" t="s">
        <x:v>162</x:v>
      </x:c>
      <x:c r="E159" s="34" t="s">
        <x:v>163</x:v>
      </x:c>
      <x:c r="F159" s="34" t="s">
        <x:v>48</x:v>
      </x:c>
      <x:c r="G159" s="49">
        <x:v>-1330</x:v>
      </x:c>
      <x:c r="H159" s="48" t="s">
        <x:v>82</x:v>
      </x:c>
      <x:c r="I159" s="33" t="s">
        <x:v>83</x:v>
      </x:c>
      <x:c r="J159" s="37">
        <x:v>46152</x:v>
      </x:c>
      <x:c r="K159" s="22" t="s">
        <x:v>30</x:v>
      </x:c>
    </x:row>
    <x:row r="160">
      <x:c r="A160" s="34" t="s">
        <x:v>164</x:v>
      </x:c>
      <x:c r="B160" s="32">
        <x:v>46113</x:v>
      </x:c>
      <x:c r="C160" s="45" t="str">
        <x:f t="shared" si="2"/>
        <x:v>ABRIL</x:v>
      </x:c>
      <x:c r="D160" s="34" t="s">
        <x:v>165</x:v>
      </x:c>
      <x:c r="E160" s="34" t="s">
        <x:v>163</x:v>
      </x:c>
      <x:c r="F160" s="34" t="s">
        <x:v>48</x:v>
      </x:c>
      <x:c r="G160" s="49">
        <x:v>-4078.69</x:v>
      </x:c>
      <x:c r="H160" s="48" t="s">
        <x:v>82</x:v>
      </x:c>
      <x:c r="I160" s="33" t="s">
        <x:v>83</x:v>
      </x:c>
      <x:c r="J160" s="37">
        <x:v>46150</x:v>
      </x:c>
      <x:c r="K160" s="22" t="s">
        <x:v>30</x:v>
      </x:c>
    </x:row>
    <x:row r="161">
      <x:c r="A161" s="34" t="s">
        <x:v>166</x:v>
      </x:c>
      <x:c r="B161" s="32">
        <x:v>46113</x:v>
      </x:c>
      <x:c r="C161" s="45" t="str">
        <x:f t="shared" si="2"/>
        <x:v>ABRIL</x:v>
      </x:c>
      <x:c r="D161" s="34" t="s">
        <x:v>89</x:v>
      </x:c>
      <x:c r="E161" s="34" t="s">
        <x:v>167</x:v>
      </x:c>
      <x:c r="F161" s="34" t="s">
        <x:v>48</x:v>
      </x:c>
      <x:c r="G161" s="49" t="n">
        <x:f>15500-12228.63</x:f>
        <x:v>3271.370000000001</x:v>
      </x:c>
      <x:c r="H161" s="48" t="s">
        <x:v>91</x:v>
      </x:c>
      <x:c r="I161" s="33" t="s">
        <x:v>168</x:v>
      </x:c>
      <x:c r="J161" s="37">
        <x:v>46142</x:v>
      </x:c>
      <x:c r="K161" s="22" t="s">
        <x:v>30</x:v>
      </x:c>
    </x:row>
    <x:row r="162">
      <x:c r="A162" s="34" t="s">
        <x:v>169</x:v>
      </x:c>
      <x:c r="B162" s="32">
        <x:v>46113</x:v>
      </x:c>
      <x:c r="C162" s="45" t="str">
        <x:f t="shared" si="2"/>
        <x:v>ABRIL</x:v>
      </x:c>
      <x:c r="D162" s="34" t="s">
        <x:v>85</x:v>
      </x:c>
      <x:c r="E162" s="34" t="s">
        <x:v>170</x:v>
      </x:c>
      <x:c r="F162" s="34" t="s">
        <x:v>48</x:v>
      </x:c>
      <x:c r="G162" s="49">
        <x:v>-372.5</x:v>
      </x:c>
      <x:c r="H162" s="48" t="s">
        <x:v>82</x:v>
      </x:c>
      <x:c r="I162" s="33" t="s">
        <x:v>83</x:v>
      </x:c>
      <x:c r="J162" s="37">
        <x:v>46142</x:v>
      </x:c>
      <x:c r="K162" s="22" t="s">
        <x:v>30</x:v>
      </x:c>
    </x:row>
    <x:row r="163">
      <x:c r="A163" s="34" t="s">
        <x:v>86</x:v>
      </x:c>
      <x:c r="B163" s="32">
        <x:v>46113</x:v>
      </x:c>
      <x:c r="C163" s="45" t="str">
        <x:f t="shared" si="2"/>
        <x:v>ABRIL</x:v>
      </x:c>
      <x:c r="D163" s="34" t="s">
        <x:v>85</x:v>
      </x:c>
      <x:c r="E163" s="34" t="s">
        <x:v>171</x:v>
      </x:c>
      <x:c r="F163" s="34" t="s">
        <x:v>48</x:v>
      </x:c>
      <x:c r="G163" s="49">
        <x:v>-23715.040000000001</x:v>
      </x:c>
      <x:c r="H163" s="48" t="s">
        <x:v>82</x:v>
      </x:c>
      <x:c r="I163" s="33" t="s">
        <x:v>83</x:v>
      </x:c>
      <x:c r="J163" s="37">
        <x:v>46142</x:v>
      </x:c>
      <x:c r="K163" s="22" t="s">
        <x:v>30</x:v>
      </x:c>
    </x:row>
    <x:row r="164">
      <x:c r="A164" s="34" t="s">
        <x:v>172</x:v>
      </x:c>
      <x:c r="B164" s="32">
        <x:v>46113</x:v>
      </x:c>
      <x:c r="C164" s="45" t="str">
        <x:f t="shared" si="2"/>
        <x:v>ABRIL</x:v>
      </x:c>
      <x:c r="D164" s="34" t="s">
        <x:v>173</x:v>
      </x:c>
      <x:c r="E164" s="34" t="s">
        <x:v>163</x:v>
      </x:c>
      <x:c r="F164" s="34" t="s">
        <x:v>48</x:v>
      </x:c>
      <x:c r="G164" s="49">
        <x:v>-400</x:v>
      </x:c>
      <x:c r="H164" s="48" t="s">
        <x:v>82</x:v>
      </x:c>
      <x:c r="I164" s="33" t="s">
        <x:v>83</x:v>
      </x:c>
      <x:c r="J164" s="37">
        <x:v>46142</x:v>
      </x:c>
      <x:c r="K164" s="22" t="s">
        <x:v>30</x:v>
      </x:c>
    </x:row>
    <x:row r="165">
      <x:c r="A165" s="34" t="s">
        <x:v>174</x:v>
      </x:c>
      <x:c r="B165" s="32">
        <x:v>46113</x:v>
      </x:c>
      <x:c r="C165" s="45" t="str">
        <x:f t="shared" si="2"/>
        <x:v>ABRIL</x:v>
      </x:c>
      <x:c r="D165" s="34" t="s">
        <x:v>162</x:v>
      </x:c>
      <x:c r="E165" s="34" t="s">
        <x:v>163</x:v>
      </x:c>
      <x:c r="F165" s="34" t="s">
        <x:v>48</x:v>
      </x:c>
      <x:c r="G165" s="49">
        <x:v>-500</x:v>
      </x:c>
      <x:c r="H165" s="48" t="s">
        <x:v>82</x:v>
      </x:c>
      <x:c r="I165" s="33" t="s">
        <x:v>83</x:v>
      </x:c>
      <x:c r="J165" s="37">
        <x:v>46142</x:v>
      </x:c>
      <x:c r="K165" s="22" t="s">
        <x:v>30</x:v>
      </x:c>
    </x:row>
    <x:row r="166">
      <x:c r="A166" s="34" t="s">
        <x:v>175</x:v>
      </x:c>
      <x:c r="B166" s="32">
        <x:v>46113</x:v>
      </x:c>
      <x:c r="C166" s="45" t="str">
        <x:f t="shared" si="2"/>
        <x:v>ABRIL</x:v>
      </x:c>
      <x:c r="D166" s="34" t="s">
        <x:v>173</x:v>
      </x:c>
      <x:c r="E166" s="34" t="s">
        <x:v>176</x:v>
      </x:c>
      <x:c r="F166" s="34" t="s">
        <x:v>48</x:v>
      </x:c>
      <x:c r="G166" s="49">
        <x:v>-500</x:v>
      </x:c>
      <x:c r="H166" s="48" t="s">
        <x:v>82</x:v>
      </x:c>
      <x:c r="I166" s="33" t="s">
        <x:v>83</x:v>
      </x:c>
      <x:c r="J166" s="37">
        <x:v>46142</x:v>
      </x:c>
      <x:c r="K166" s="22" t="s">
        <x:v>30</x:v>
      </x:c>
    </x:row>
    <x:row r="167">
      <x:c r="A167" s="34" t="s">
        <x:v>177</x:v>
      </x:c>
      <x:c r="B167" s="32">
        <x:v>46113</x:v>
      </x:c>
      <x:c r="C167" s="45" t="str">
        <x:f t="shared" si="2"/>
        <x:v>ABRIL</x:v>
      </x:c>
      <x:c r="D167" s="34" t="s">
        <x:v>85</x:v>
      </x:c>
      <x:c r="E167" s="34" t="s">
        <x:v>178</x:v>
      </x:c>
      <x:c r="F167" s="34" t="s">
        <x:v>48</x:v>
      </x:c>
      <x:c r="G167" s="49">
        <x:v>-35000</x:v>
      </x:c>
      <x:c r="H167" s="48" t="s">
        <x:v>82</x:v>
      </x:c>
      <x:c r="I167" s="33" t="s">
        <x:v>83</x:v>
      </x:c>
      <x:c r="J167" s="37">
        <x:v>46141</x:v>
      </x:c>
      <x:c r="K167" s="22" t="s">
        <x:v>30</x:v>
      </x:c>
    </x:row>
    <x:row r="168">
      <x:c r="A168" s="34" t="s">
        <x:v>177</x:v>
      </x:c>
      <x:c r="B168" s="32">
        <x:v>46113</x:v>
      </x:c>
      <x:c r="C168" s="45" t="str">
        <x:f t="shared" si="2"/>
        <x:v>ABRIL</x:v>
      </x:c>
      <x:c r="D168" s="34" t="s">
        <x:v>85</x:v>
      </x:c>
      <x:c r="E168" s="34" t="s">
        <x:v>178</x:v>
      </x:c>
      <x:c r="F168" s="34" t="s">
        <x:v>48</x:v>
      </x:c>
      <x:c r="G168" s="49">
        <x:v>35000</x:v>
      </x:c>
      <x:c r="H168" s="48" t="s">
        <x:v>82</x:v>
      </x:c>
      <x:c r="I168" s="33" t="s">
        <x:v>83</x:v>
      </x:c>
      <x:c r="J168" s="37">
        <x:v>46141</x:v>
      </x:c>
      <x:c r="K168" s="22" t="s">
        <x:v>30</x:v>
      </x:c>
    </x:row>
    <x:row r="169">
      <x:c r="A169" s="34" t="s">
        <x:v>179</x:v>
      </x:c>
      <x:c r="B169" s="32">
        <x:v>46113</x:v>
      </x:c>
      <x:c r="C169" s="45" t="str">
        <x:f t="shared" si="2"/>
        <x:v>ABRIL</x:v>
      </x:c>
      <x:c r="D169" s="34" t="s">
        <x:v>112</x:v>
      </x:c>
      <x:c r="E169" s="34" t="s">
        <x:v>149</x:v>
      </x:c>
      <x:c r="F169" s="34" t="s">
        <x:v>48</x:v>
      </x:c>
      <x:c r="G169" s="49">
        <x:v>-39659.54</x:v>
      </x:c>
      <x:c r="H169" s="48" t="s">
        <x:v>82</x:v>
      </x:c>
      <x:c r="I169" s="33" t="s">
        <x:v>83</x:v>
      </x:c>
      <x:c r="J169" s="37">
        <x:v>46140</x:v>
      </x:c>
      <x:c r="K169" s="22" t="s">
        <x:v>30</x:v>
      </x:c>
    </x:row>
    <x:row r="170">
      <x:c r="A170" s="34" t="s">
        <x:v>180</x:v>
      </x:c>
      <x:c r="B170" s="32">
        <x:v>46113</x:v>
      </x:c>
      <x:c r="C170" s="45" t="str">
        <x:f t="shared" si="2"/>
        <x:v>ABRIL</x:v>
      </x:c>
      <x:c r="D170" s="34" t="s">
        <x:v>89</x:v>
      </x:c>
      <x:c r="E170" s="34" t="s">
        <x:v>167</x:v>
      </x:c>
      <x:c r="F170" s="34" t="s">
        <x:v>48</x:v>
      </x:c>
      <x:c r="G170" s="49">
        <x:v>12228.63</x:v>
      </x:c>
      <x:c r="H170" s="48" t="s">
        <x:v>91</x:v>
      </x:c>
      <x:c r="I170" s="33" t="s">
        <x:v>83</x:v>
      </x:c>
      <x:c r="J170" s="37">
        <x:v>46140</x:v>
      </x:c>
      <x:c r="K170" s="22" t="s">
        <x:v>30</x:v>
      </x:c>
    </x:row>
    <x:row r="171">
      <x:c r="A171" s="34" t="s">
        <x:v>181</x:v>
      </x:c>
      <x:c r="B171" s="32">
        <x:v>46113</x:v>
      </x:c>
      <x:c r="C171" s="45" t="str">
        <x:f t="shared" si="2"/>
        <x:v>ABRIL</x:v>
      </x:c>
      <x:c r="D171" s="34" t="s">
        <x:v>162</x:v>
      </x:c>
      <x:c r="E171" s="34" t="s">
        <x:v>167</x:v>
      </x:c>
      <x:c r="F171" s="34" t="s">
        <x:v>48</x:v>
      </x:c>
      <x:c r="G171" s="49">
        <x:v>-1930</x:v>
      </x:c>
      <x:c r="H171" s="48" t="s">
        <x:v>82</x:v>
      </x:c>
      <x:c r="I171" s="33" t="s">
        <x:v>83</x:v>
      </x:c>
      <x:c r="J171" s="37">
        <x:v>46139</x:v>
      </x:c>
      <x:c r="K171" s="22" t="s">
        <x:v>30</x:v>
      </x:c>
    </x:row>
    <x:row r="172">
      <x:c r="A172" s="34" t="s">
        <x:v>182</x:v>
      </x:c>
      <x:c r="B172" s="32">
        <x:v>46113</x:v>
      </x:c>
      <x:c r="C172" s="45" t="str">
        <x:f t="shared" si="2"/>
        <x:v>ABRIL</x:v>
      </x:c>
      <x:c r="D172" s="34" t="s">
        <x:v>162</x:v>
      </x:c>
      <x:c r="E172" s="34" t="s">
        <x:v>183</x:v>
      </x:c>
      <x:c r="F172" s="34" t="s">
        <x:v>48</x:v>
      </x:c>
      <x:c r="G172" s="49">
        <x:v>-600</x:v>
      </x:c>
      <x:c r="H172" s="48" t="s">
        <x:v>82</x:v>
      </x:c>
      <x:c r="I172" s="33" t="s">
        <x:v>83</x:v>
      </x:c>
      <x:c r="J172" s="37">
        <x:v>46139</x:v>
      </x:c>
      <x:c r="K172" s="22" t="s">
        <x:v>30</x:v>
      </x:c>
    </x:row>
    <x:row r="173">
      <x:c r="A173" s="34" t="s">
        <x:v>184</x:v>
      </x:c>
      <x:c r="B173" s="32">
        <x:v>46113</x:v>
      </x:c>
      <x:c r="C173" s="45" t="str">
        <x:f t="shared" si="2"/>
        <x:v>ABRIL</x:v>
      </x:c>
      <x:c r="D173" s="34" t="s">
        <x:v>89</x:v>
      </x:c>
      <x:c r="E173" s="34" t="s">
        <x:v>163</x:v>
      </x:c>
      <x:c r="F173" s="34" t="s">
        <x:v>48</x:v>
      </x:c>
      <x:c r="G173" s="49">
        <x:v>22260</x:v>
      </x:c>
      <x:c r="H173" s="48" t="s">
        <x:v>91</x:v>
      </x:c>
      <x:c r="I173" s="33" t="s">
        <x:v>83</x:v>
      </x:c>
      <x:c r="J173" s="37">
        <x:v>46139</x:v>
      </x:c>
      <x:c r="K173" s="22" t="s">
        <x:v>30</x:v>
      </x:c>
    </x:row>
    <x:row r="174">
      <x:c r="A174" s="34" t="s">
        <x:v>185</x:v>
      </x:c>
      <x:c r="B174" s="32">
        <x:v>46113</x:v>
      </x:c>
      <x:c r="C174" s="45" t="str">
        <x:f t="shared" si="2"/>
        <x:v>ABRIL</x:v>
      </x:c>
      <x:c r="D174" s="34" t="s">
        <x:v>85</x:v>
      </x:c>
      <x:c r="E174" s="34" t="s">
        <x:v>186</x:v>
      </x:c>
      <x:c r="F174" s="34" t="s">
        <x:v>48</x:v>
      </x:c>
      <x:c r="G174" s="49">
        <x:v>-133.77000000000001</x:v>
      </x:c>
      <x:c r="H174" s="48" t="s">
        <x:v>82</x:v>
      </x:c>
      <x:c r="I174" s="33" t="s">
        <x:v>187</x:v>
      </x:c>
      <x:c r="J174" s="37">
        <x:v>46139</x:v>
      </x:c>
      <x:c r="K174" s="22" t="s">
        <x:v>30</x:v>
      </x:c>
    </x:row>
    <x:row r="175">
      <x:c r="A175" s="34" t="s">
        <x:v>188</x:v>
      </x:c>
      <x:c r="B175" s="32">
        <x:v>46113</x:v>
      </x:c>
      <x:c r="C175" s="45" t="str">
        <x:f t="shared" si="2"/>
        <x:v>ABRIL</x:v>
      </x:c>
      <x:c r="D175" s="34" t="s">
        <x:v>85</x:v>
      </x:c>
      <x:c r="E175" s="34" t="s">
        <x:v>186</x:v>
      </x:c>
      <x:c r="F175" s="34" t="s">
        <x:v>48</x:v>
      </x:c>
      <x:c r="G175" s="49">
        <x:v>-80.599999999999994</x:v>
      </x:c>
      <x:c r="H175" s="48" t="s">
        <x:v>82</x:v>
      </x:c>
      <x:c r="I175" s="33" t="s">
        <x:v>187</x:v>
      </x:c>
      <x:c r="J175" s="37">
        <x:v>46139</x:v>
      </x:c>
      <x:c r="K175" s="22" t="s">
        <x:v>30</x:v>
      </x:c>
    </x:row>
    <x:row r="176">
      <x:c r="A176" s="34" t="s">
        <x:v>189</x:v>
      </x:c>
      <x:c r="B176" s="32">
        <x:v>46113</x:v>
      </x:c>
      <x:c r="C176" s="45" t="str">
        <x:f t="shared" si="2"/>
        <x:v>ABRIL</x:v>
      </x:c>
      <x:c r="D176" s="34" t="s">
        <x:v>85</x:v>
      </x:c>
      <x:c r="E176" s="34" t="s">
        <x:v>190</x:v>
      </x:c>
      <x:c r="F176" s="34" t="s">
        <x:v>48</x:v>
      </x:c>
      <x:c r="G176" s="49">
        <x:v>-587.41999999999996</x:v>
      </x:c>
      <x:c r="H176" s="48" t="s">
        <x:v>82</x:v>
      </x:c>
      <x:c r="I176" s="33" t="s">
        <x:v>83</x:v>
      </x:c>
      <x:c r="J176" s="37">
        <x:v>46136</x:v>
      </x:c>
      <x:c r="K176" s="22" t="s">
        <x:v>30</x:v>
      </x:c>
    </x:row>
    <x:row r="177">
      <x:c r="A177" s="34" t="s">
        <x:v>191</x:v>
      </x:c>
      <x:c r="B177" s="32">
        <x:v>46113</x:v>
      </x:c>
      <x:c r="C177" s="45" t="str">
        <x:f t="shared" si="2"/>
        <x:v>ABRIL</x:v>
      </x:c>
      <x:c r="D177" s="34" t="s">
        <x:v>89</x:v>
      </x:c>
      <x:c r="E177" s="34" t="s">
        <x:v>167</x:v>
      </x:c>
      <x:c r="F177" s="34" t="s">
        <x:v>48</x:v>
      </x:c>
      <x:c r="G177" s="49">
        <x:v>16000</x:v>
      </x:c>
      <x:c r="H177" s="48" t="s">
        <x:v>91</x:v>
      </x:c>
      <x:c r="I177" s="33" t="s">
        <x:v>83</x:v>
      </x:c>
      <x:c r="J177" s="37">
        <x:v>46136</x:v>
      </x:c>
      <x:c r="K177" s="22" t="s">
        <x:v>30</x:v>
      </x:c>
    </x:row>
    <x:row r="178">
      <x:c r="A178" s="34" t="s">
        <x:v>115</x:v>
      </x:c>
      <x:c r="B178" s="32">
        <x:v>46113</x:v>
      </x:c>
      <x:c r="C178" s="45" t="str">
        <x:f t="shared" si="2"/>
        <x:v>ABRIL</x:v>
      </x:c>
      <x:c r="D178" s="34" t="s">
        <x:v>116</x:v>
      </x:c>
      <x:c r="E178" s="34" t="s">
        <x:v>117</x:v>
      </x:c>
      <x:c r="F178" s="34" t="s">
        <x:v>48</x:v>
      </x:c>
      <x:c r="G178" s="49">
        <x:v>-4804</x:v>
      </x:c>
      <x:c r="H178" s="48" t="s">
        <x:v>82</x:v>
      </x:c>
      <x:c r="I178" s="33" t="s">
        <x:v>83</x:v>
      </x:c>
      <x:c r="J178" s="37">
        <x:v>46134</x:v>
      </x:c>
      <x:c r="K178" s="22" t="s">
        <x:v>30</x:v>
      </x:c>
    </x:row>
    <x:row r="179">
      <x:c r="A179" s="34" t="s">
        <x:v>192</x:v>
      </x:c>
      <x:c r="B179" s="32">
        <x:v>46113</x:v>
      </x:c>
      <x:c r="C179" s="45" t="str">
        <x:f t="shared" si="2"/>
        <x:v>ABRIL</x:v>
      </x:c>
      <x:c r="D179" s="34" t="s">
        <x:v>193</x:v>
      </x:c>
      <x:c r="E179" s="34" t="s">
        <x:v>192</x:v>
      </x:c>
      <x:c r="F179" s="34" t="s">
        <x:v>48</x:v>
      </x:c>
      <x:c r="G179" s="49">
        <x:v>-603.86</x:v>
      </x:c>
      <x:c r="H179" s="48" t="s">
        <x:v>82</x:v>
      </x:c>
      <x:c r="I179" s="33" t="s">
        <x:v>83</x:v>
      </x:c>
      <x:c r="J179" s="37">
        <x:v>46134</x:v>
      </x:c>
      <x:c r="K179" s="22" t="s">
        <x:v>30</x:v>
      </x:c>
    </x:row>
    <x:row r="180">
      <x:c r="A180" s="34" t="s">
        <x:v>194</x:v>
      </x:c>
      <x:c r="B180" s="32">
        <x:v>46113</x:v>
      </x:c>
      <x:c r="C180" s="45" t="str">
        <x:f t="shared" si="2"/>
        <x:v>ABRIL</x:v>
      </x:c>
      <x:c r="D180" s="34" t="s">
        <x:v>85</x:v>
      </x:c>
      <x:c r="E180" s="34" t="s">
        <x:v>170</x:v>
      </x:c>
      <x:c r="F180" s="34" t="s">
        <x:v>48</x:v>
      </x:c>
      <x:c r="G180" s="49">
        <x:v>-372.04</x:v>
      </x:c>
      <x:c r="H180" s="48" t="s">
        <x:v>82</x:v>
      </x:c>
      <x:c r="I180" s="33" t="s">
        <x:v>83</x:v>
      </x:c>
      <x:c r="J180" s="37">
        <x:v>46134</x:v>
      </x:c>
      <x:c r="K180" s="22" t="s">
        <x:v>30</x:v>
      </x:c>
    </x:row>
    <x:row r="181">
      <x:c r="A181" s="34" t="s">
        <x:v>194</x:v>
      </x:c>
      <x:c r="B181" s="32">
        <x:v>46113</x:v>
      </x:c>
      <x:c r="C181" s="45" t="str">
        <x:f t="shared" si="2"/>
        <x:v>ABRIL</x:v>
      </x:c>
      <x:c r="D181" s="34" t="s">
        <x:v>85</x:v>
      </x:c>
      <x:c r="E181" s="34" t="s">
        <x:v>170</x:v>
      </x:c>
      <x:c r="F181" s="34" t="s">
        <x:v>48</x:v>
      </x:c>
      <x:c r="G181" s="49">
        <x:v>-1550.65</x:v>
      </x:c>
      <x:c r="H181" s="48" t="s">
        <x:v>82</x:v>
      </x:c>
      <x:c r="I181" s="33" t="s">
        <x:v>83</x:v>
      </x:c>
      <x:c r="J181" s="37">
        <x:v>46134</x:v>
      </x:c>
      <x:c r="K181" s="22" t="s">
        <x:v>30</x:v>
      </x:c>
    </x:row>
    <x:row r="182">
      <x:c r="A182" s="34" t="s">
        <x:v>195</x:v>
      </x:c>
      <x:c r="B182" s="32">
        <x:v>46113</x:v>
      </x:c>
      <x:c r="C182" s="45" t="str">
        <x:f t="shared" si="2"/>
        <x:v>ABRIL</x:v>
      </x:c>
      <x:c r="D182" s="34" t="s">
        <x:v>85</x:v>
      </x:c>
      <x:c r="E182" s="34" t="s">
        <x:v>170</x:v>
      </x:c>
      <x:c r="F182" s="34" t="s">
        <x:v>48</x:v>
      </x:c>
      <x:c r="G182" s="49">
        <x:v>-1550</x:v>
      </x:c>
      <x:c r="H182" s="48" t="s">
        <x:v>82</x:v>
      </x:c>
      <x:c r="I182" s="33" t="s">
        <x:v>83</x:v>
      </x:c>
      <x:c r="J182" s="37">
        <x:v>46132</x:v>
      </x:c>
      <x:c r="K182" s="22" t="s">
        <x:v>30</x:v>
      </x:c>
    </x:row>
    <x:row r="183">
      <x:c r="A183" s="34" t="s">
        <x:v>196</x:v>
      </x:c>
      <x:c r="B183" s="32">
        <x:v>46113</x:v>
      </x:c>
      <x:c r="C183" s="45" t="str">
        <x:f t="shared" si="2"/>
        <x:v>ABRIL</x:v>
      </x:c>
      <x:c r="D183" s="34" t="s">
        <x:v>85</x:v>
      </x:c>
      <x:c r="E183" s="34" t="s">
        <x:v>170</x:v>
      </x:c>
      <x:c r="F183" s="34" t="s">
        <x:v>48</x:v>
      </x:c>
      <x:c r="G183" s="49">
        <x:v>-295</x:v>
      </x:c>
      <x:c r="H183" s="48" t="s">
        <x:v>82</x:v>
      </x:c>
      <x:c r="I183" s="33" t="s">
        <x:v>83</x:v>
      </x:c>
      <x:c r="J183" s="37">
        <x:v>46132</x:v>
      </x:c>
      <x:c r="K183" s="22" t="s">
        <x:v>30</x:v>
      </x:c>
    </x:row>
    <x:row r="184">
      <x:c r="A184" s="34" t="s">
        <x:v>197</x:v>
      </x:c>
      <x:c r="B184" s="32">
        <x:v>46113</x:v>
      </x:c>
      <x:c r="C184" s="45" t="str">
        <x:f t="shared" si="2"/>
        <x:v>ABRIL</x:v>
      </x:c>
      <x:c r="D184" s="34" t="s">
        <x:v>193</x:v>
      </x:c>
      <x:c r="E184" s="34" t="s">
        <x:v>197</x:v>
      </x:c>
      <x:c r="F184" s="34" t="s">
        <x:v>48</x:v>
      </x:c>
      <x:c r="G184" s="49">
        <x:v>-89.9</x:v>
      </x:c>
      <x:c r="H184" s="48" t="s">
        <x:v>82</x:v>
      </x:c>
      <x:c r="I184" s="33" t="s">
        <x:v>83</x:v>
      </x:c>
      <x:c r="J184" s="37">
        <x:v>46132</x:v>
      </x:c>
      <x:c r="K184" s="22" t="s">
        <x:v>30</x:v>
      </x:c>
    </x:row>
    <x:row r="185">
      <x:c r="A185" s="34" t="s">
        <x:v>198</x:v>
      </x:c>
      <x:c r="B185" s="32">
        <x:v>46113</x:v>
      </x:c>
      <x:c r="C185" s="45" t="str">
        <x:f t="shared" si="2"/>
        <x:v>ABRIL</x:v>
      </x:c>
      <x:c r="D185" s="34" t="s">
        <x:v>162</x:v>
      </x:c>
      <x:c r="E185" s="34" t="s">
        <x:v>163</x:v>
      </x:c>
      <x:c r="F185" s="34" t="s">
        <x:v>48</x:v>
      </x:c>
      <x:c r="G185" s="49">
        <x:v>-1829</x:v>
      </x:c>
      <x:c r="H185" s="48" t="s">
        <x:v>82</x:v>
      </x:c>
      <x:c r="I185" s="33" t="s">
        <x:v>83</x:v>
      </x:c>
      <x:c r="J185" s="37">
        <x:v>46132</x:v>
      </x:c>
      <x:c r="K185" s="22" t="s">
        <x:v>30</x:v>
      </x:c>
    </x:row>
    <x:row r="186">
      <x:c r="A186" s="34" t="s">
        <x:v>199</x:v>
      </x:c>
      <x:c r="B186" s="32">
        <x:v>46113</x:v>
      </x:c>
      <x:c r="C186" s="45" t="str">
        <x:f t="shared" si="2"/>
        <x:v>ABRIL</x:v>
      </x:c>
      <x:c r="D186" s="34" t="s">
        <x:v>89</x:v>
      </x:c>
      <x:c r="E186" s="34" t="s">
        <x:v>163</x:v>
      </x:c>
      <x:c r="F186" s="34" t="s">
        <x:v>48</x:v>
      </x:c>
      <x:c r="G186" s="49">
        <x:v>12000</x:v>
      </x:c>
      <x:c r="H186" s="48" t="s">
        <x:v>91</x:v>
      </x:c>
      <x:c r="I186" s="33" t="s">
        <x:v>187</x:v>
      </x:c>
      <x:c r="J186" s="37">
        <x:v>46128</x:v>
      </x:c>
      <x:c r="K186" s="22" t="s">
        <x:v>30</x:v>
      </x:c>
    </x:row>
    <x:row r="187">
      <x:c r="A187" s="34" t="s">
        <x:v>200</x:v>
      </x:c>
      <x:c r="B187" s="32">
        <x:v>46113</x:v>
      </x:c>
      <x:c r="C187" s="45" t="str">
        <x:f t="shared" si="2"/>
        <x:v>ABRIL</x:v>
      </x:c>
      <x:c r="D187" s="34" t="s">
        <x:v>183</x:v>
      </x:c>
      <x:c r="E187" s="34" t="s">
        <x:v>183</x:v>
      </x:c>
      <x:c r="F187" s="34" t="s">
        <x:v>48</x:v>
      </x:c>
      <x:c r="G187" s="49">
        <x:v>-5000</x:v>
      </x:c>
      <x:c r="H187" s="48" t="s">
        <x:v>82</x:v>
      </x:c>
      <x:c r="I187" s="33" t="s">
        <x:v>187</x:v>
      </x:c>
      <x:c r="J187" s="37">
        <x:v>46127</x:v>
      </x:c>
      <x:c r="K187" s="22" t="s">
        <x:v>30</x:v>
      </x:c>
    </x:row>
    <x:row r="188">
      <x:c r="A188" s="34" t="s">
        <x:v>201</x:v>
      </x:c>
      <x:c r="B188" s="32">
        <x:v>46113</x:v>
      </x:c>
      <x:c r="C188" s="45" t="str">
        <x:f t="shared" si="2"/>
        <x:v>ABRIL</x:v>
      </x:c>
      <x:c r="D188" s="34" t="s">
        <x:v>201</x:v>
      </x:c>
      <x:c r="E188" s="34" t="s">
        <x:v>202</x:v>
      </x:c>
      <x:c r="F188" s="34" t="s">
        <x:v>48</x:v>
      </x:c>
      <x:c r="G188" s="49">
        <x:v>-4750.28</x:v>
      </x:c>
      <x:c r="H188" s="48" t="s">
        <x:v>82</x:v>
      </x:c>
      <x:c r="I188" s="33" t="s">
        <x:v>83</x:v>
      </x:c>
      <x:c r="J188" s="37">
        <x:v>46127</x:v>
      </x:c>
      <x:c r="K188" s="22" t="s">
        <x:v>30</x:v>
      </x:c>
    </x:row>
    <x:row r="189">
      <x:c r="A189" s="34" t="s">
        <x:v>201</x:v>
      </x:c>
      <x:c r="B189" s="32">
        <x:v>46113</x:v>
      </x:c>
      <x:c r="C189" s="45" t="str">
        <x:f t="shared" si="2"/>
        <x:v>ABRIL</x:v>
      </x:c>
      <x:c r="D189" s="34" t="s">
        <x:v>201</x:v>
      </x:c>
      <x:c r="E189" s="34" t="s">
        <x:v>202</x:v>
      </x:c>
      <x:c r="F189" s="34" t="s">
        <x:v>48</x:v>
      </x:c>
      <x:c r="G189" s="49">
        <x:v>-669.91</x:v>
      </x:c>
      <x:c r="H189" s="48" t="s">
        <x:v>82</x:v>
      </x:c>
      <x:c r="I189" s="33" t="s">
        <x:v>83</x:v>
      </x:c>
      <x:c r="J189" s="37">
        <x:v>46127</x:v>
      </x:c>
      <x:c r="K189" s="22" t="s">
        <x:v>30</x:v>
      </x:c>
    </x:row>
    <x:row r="190">
      <x:c r="A190" s="34" t="s">
        <x:v>86</x:v>
      </x:c>
      <x:c r="B190" s="32">
        <x:v>46113</x:v>
      </x:c>
      <x:c r="C190" s="45" t="str">
        <x:f t="shared" si="2"/>
        <x:v>ABRIL</x:v>
      </x:c>
      <x:c r="D190" s="34" t="s">
        <x:v>85</x:v>
      </x:c>
      <x:c r="E190" s="34" t="s">
        <x:v>171</x:v>
      </x:c>
      <x:c r="F190" s="34" t="s">
        <x:v>48</x:v>
      </x:c>
      <x:c r="G190" s="49">
        <x:v>-27482.59</x:v>
      </x:c>
      <x:c r="H190" s="48" t="s">
        <x:v>82</x:v>
      </x:c>
      <x:c r="I190" s="33" t="s">
        <x:v>83</x:v>
      </x:c>
      <x:c r="J190" s="37">
        <x:v>46127</x:v>
      </x:c>
      <x:c r="K190" s="22" t="s">
        <x:v>30</x:v>
      </x:c>
    </x:row>
    <x:row r="191">
      <x:c r="A191" s="34" t="s">
        <x:v>110</x:v>
      </x:c>
      <x:c r="B191" s="32">
        <x:v>46113</x:v>
      </x:c>
      <x:c r="C191" s="45" t="str">
        <x:f t="shared" si="2"/>
        <x:v>ABRIL</x:v>
      </x:c>
      <x:c r="D191" s="34" t="s">
        <x:v>110</x:v>
      </x:c>
      <x:c r="E191" s="34" t="s">
        <x:v>111</x:v>
      </x:c>
      <x:c r="F191" s="34" t="s">
        <x:v>48</x:v>
      </x:c>
      <x:c r="G191" s="49">
        <x:v>-858.25</x:v>
      </x:c>
      <x:c r="H191" s="48" t="s">
        <x:v>82</x:v>
      </x:c>
      <x:c r="I191" s="33" t="s">
        <x:v>83</x:v>
      </x:c>
      <x:c r="J191" s="37">
        <x:v>46127</x:v>
      </x:c>
      <x:c r="K191" s="22" t="s">
        <x:v>30</x:v>
      </x:c>
    </x:row>
    <x:row r="192">
      <x:c r="A192" s="34" t="s">
        <x:v>203</x:v>
      </x:c>
      <x:c r="B192" s="32">
        <x:v>46113</x:v>
      </x:c>
      <x:c r="C192" s="45" t="str">
        <x:f t="shared" si="2"/>
        <x:v>ABRIL</x:v>
      </x:c>
      <x:c r="D192" s="34" t="s">
        <x:v>107</x:v>
      </x:c>
      <x:c r="E192" s="34" t="s">
        <x:v>107</x:v>
      </x:c>
      <x:c r="F192" s="34" t="s">
        <x:v>48</x:v>
      </x:c>
      <x:c r="G192" s="49">
        <x:v>-86.47</x:v>
      </x:c>
      <x:c r="H192" s="48" t="s">
        <x:v>82</x:v>
      </x:c>
      <x:c r="I192" s="33" t="s">
        <x:v>83</x:v>
      </x:c>
      <x:c r="J192" s="37">
        <x:v>46126</x:v>
      </x:c>
      <x:c r="K192" s="22" t="s">
        <x:v>30</x:v>
      </x:c>
    </x:row>
    <x:row r="193">
      <x:c r="A193" s="34" t="s">
        <x:v>204</x:v>
      </x:c>
      <x:c r="B193" s="32">
        <x:v>46113</x:v>
      </x:c>
      <x:c r="C193" s="45" t="str">
        <x:f t="shared" si="2"/>
        <x:v>ABRIL</x:v>
      </x:c>
      <x:c r="D193" s="34" t="s">
        <x:v>85</x:v>
      </x:c>
      <x:c r="E193" s="34" t="s">
        <x:v>204</x:v>
      </x:c>
      <x:c r="F193" s="34" t="s">
        <x:v>48</x:v>
      </x:c>
      <x:c r="G193" s="49">
        <x:v>-57</x:v>
      </x:c>
      <x:c r="H193" s="48" t="s">
        <x:v>82</x:v>
      </x:c>
      <x:c r="I193" s="33" t="s">
        <x:v>83</x:v>
      </x:c>
      <x:c r="J193" s="37">
        <x:v>46126</x:v>
      </x:c>
      <x:c r="K193" s="22" t="s">
        <x:v>30</x:v>
      </x:c>
    </x:row>
    <x:row r="194">
      <x:c r="A194" s="34" t="s">
        <x:v>182</x:v>
      </x:c>
      <x:c r="B194" s="32">
        <x:v>46113</x:v>
      </x:c>
      <x:c r="C194" s="45" t="str">
        <x:f t="shared" ref="C194:C257" si="3">UPPER(TEXT(B194,"MMMM"))</x:f>
        <x:v>APRIL</x:v>
      </x:c>
      <x:c r="D194" s="34" t="s">
        <x:v>162</x:v>
      </x:c>
      <x:c r="E194" s="34" t="s">
        <x:v>163</x:v>
      </x:c>
      <x:c r="F194" s="34" t="s">
        <x:v>48</x:v>
      </x:c>
      <x:c r="G194" s="49">
        <x:v>-400</x:v>
      </x:c>
      <x:c r="H194" s="48" t="s">
        <x:v>82</x:v>
      </x:c>
      <x:c r="I194" s="33" t="s">
        <x:v>83</x:v>
      </x:c>
      <x:c r="J194" s="37">
        <x:v>46126</x:v>
      </x:c>
      <x:c r="K194" s="22" t="s">
        <x:v>30</x:v>
      </x:c>
    </x:row>
    <x:row r="195">
      <x:c r="A195" s="34" t="s">
        <x:v>205</x:v>
      </x:c>
      <x:c r="B195" s="32">
        <x:v>46113</x:v>
      </x:c>
      <x:c r="C195" s="45" t="str">
        <x:f t="shared" si="3"/>
        <x:v>ABRIL</x:v>
      </x:c>
      <x:c r="D195" s="34" t="s">
        <x:v>85</x:v>
      </x:c>
      <x:c r="E195" s="34" t="s">
        <x:v>186</x:v>
      </x:c>
      <x:c r="F195" s="34" t="s">
        <x:v>48</x:v>
      </x:c>
      <x:c r="G195" s="49">
        <x:v>-671.01</x:v>
      </x:c>
      <x:c r="H195" s="48" t="s">
        <x:v>82</x:v>
      </x:c>
      <x:c r="I195" s="33" t="s">
        <x:v>83</x:v>
      </x:c>
      <x:c r="J195" s="37">
        <x:v>46125</x:v>
      </x:c>
      <x:c r="K195" s="22" t="s">
        <x:v>30</x:v>
      </x:c>
    </x:row>
    <x:row r="196">
      <x:c r="A196" s="34" t="s">
        <x:v>206</x:v>
      </x:c>
      <x:c r="B196" s="32">
        <x:v>46113</x:v>
      </x:c>
      <x:c r="C196" s="45" t="str">
        <x:f t="shared" si="3"/>
        <x:v>ABRIL</x:v>
      </x:c>
      <x:c r="D196" s="34" t="s">
        <x:v>85</x:v>
      </x:c>
      <x:c r="E196" s="34" t="s">
        <x:v>207</x:v>
      </x:c>
      <x:c r="F196" s="34" t="s">
        <x:v>48</x:v>
      </x:c>
      <x:c r="G196" s="49">
        <x:v>-696.03</x:v>
      </x:c>
      <x:c r="H196" s="48" t="s">
        <x:v>82</x:v>
      </x:c>
      <x:c r="I196" s="33" t="s">
        <x:v>83</x:v>
      </x:c>
      <x:c r="J196" s="37">
        <x:v>46125</x:v>
      </x:c>
      <x:c r="K196" s="22" t="s">
        <x:v>30</x:v>
      </x:c>
    </x:row>
    <x:row r="197">
      <x:c r="A197" s="34" t="s">
        <x:v>208</x:v>
      </x:c>
      <x:c r="B197" s="32">
        <x:v>46113</x:v>
      </x:c>
      <x:c r="C197" s="45" t="str">
        <x:f t="shared" si="3"/>
        <x:v>ABRIL</x:v>
      </x:c>
      <x:c r="D197" s="34" t="s">
        <x:v>85</x:v>
      </x:c>
      <x:c r="E197" s="34" t="s">
        <x:v>207</x:v>
      </x:c>
      <x:c r="F197" s="34" t="s">
        <x:v>48</x:v>
      </x:c>
      <x:c r="G197" s="49">
        <x:v>-356.25</x:v>
      </x:c>
      <x:c r="H197" s="48" t="s">
        <x:v>82</x:v>
      </x:c>
      <x:c r="I197" s="33" t="s">
        <x:v>83</x:v>
      </x:c>
      <x:c r="J197" s="37">
        <x:v>46125</x:v>
      </x:c>
      <x:c r="K197" s="22" t="s">
        <x:v>30</x:v>
      </x:c>
    </x:row>
    <x:row r="198">
      <x:c r="A198" s="34" t="s">
        <x:v>185</x:v>
      </x:c>
      <x:c r="B198" s="32">
        <x:v>46113</x:v>
      </x:c>
      <x:c r="C198" s="45" t="str">
        <x:f t="shared" si="3"/>
        <x:v>ABRIL</x:v>
      </x:c>
      <x:c r="D198" s="34" t="s">
        <x:v>85</x:v>
      </x:c>
      <x:c r="E198" s="34" t="s">
        <x:v>186</x:v>
      </x:c>
      <x:c r="F198" s="34" t="s">
        <x:v>48</x:v>
      </x:c>
      <x:c r="G198" s="49">
        <x:v>-801.08</x:v>
      </x:c>
      <x:c r="H198" s="48" t="s">
        <x:v>82</x:v>
      </x:c>
      <x:c r="I198" s="33" t="s">
        <x:v>83</x:v>
      </x:c>
      <x:c r="J198" s="37">
        <x:v>46125</x:v>
      </x:c>
      <x:c r="K198" s="22" t="s">
        <x:v>30</x:v>
      </x:c>
    </x:row>
    <x:row r="199">
      <x:c r="A199" s="34" t="s">
        <x:v>209</x:v>
      </x:c>
      <x:c r="B199" s="32">
        <x:v>46113</x:v>
      </x:c>
      <x:c r="C199" s="45" t="str">
        <x:f t="shared" si="3"/>
        <x:v>ABRIL</x:v>
      </x:c>
      <x:c r="D199" s="34" t="s">
        <x:v>89</x:v>
      </x:c>
      <x:c r="E199" s="34" t="s">
        <x:v>163</x:v>
      </x:c>
      <x:c r="F199" s="34" t="s">
        <x:v>48</x:v>
      </x:c>
      <x:c r="G199" s="49">
        <x:v>16000</x:v>
      </x:c>
      <x:c r="H199" s="48" t="s">
        <x:v>91</x:v>
      </x:c>
      <x:c r="I199" s="33" t="s">
        <x:v>83</x:v>
      </x:c>
      <x:c r="J199" s="37">
        <x:v>46124</x:v>
      </x:c>
      <x:c r="K199" s="22" t="s">
        <x:v>30</x:v>
      </x:c>
    </x:row>
    <x:row r="200">
      <x:c r="A200" s="34" t="s">
        <x:v>210</x:v>
      </x:c>
      <x:c r="B200" s="32">
        <x:v>46113</x:v>
      </x:c>
      <x:c r="C200" s="45" t="str">
        <x:f t="shared" si="3"/>
        <x:v>ABRIL</x:v>
      </x:c>
      <x:c r="D200" s="34" t="s">
        <x:v>85</x:v>
      </x:c>
      <x:c r="E200" s="34" t="s">
        <x:v>211</x:v>
      </x:c>
      <x:c r="F200" s="34" t="s">
        <x:v>48</x:v>
      </x:c>
      <x:c r="G200" s="49">
        <x:v>-300</x:v>
      </x:c>
      <x:c r="H200" s="48" t="s">
        <x:v>82</x:v>
      </x:c>
      <x:c r="I200" s="33" t="s">
        <x:v>83</x:v>
      </x:c>
      <x:c r="J200" s="37">
        <x:v>46120</x:v>
      </x:c>
      <x:c r="K200" s="22" t="s">
        <x:v>30</x:v>
      </x:c>
    </x:row>
    <x:row r="201">
      <x:c r="A201" s="34" t="s">
        <x:v>212</x:v>
      </x:c>
      <x:c r="B201" s="32">
        <x:v>46113</x:v>
      </x:c>
      <x:c r="C201" s="45" t="str">
        <x:f t="shared" si="3"/>
        <x:v>ABRIL</x:v>
      </x:c>
      <x:c r="D201" s="34" t="s">
        <x:v>201</x:v>
      </x:c>
      <x:c r="E201" s="34" t="s">
        <x:v>163</x:v>
      </x:c>
      <x:c r="F201" s="34" t="s">
        <x:v>48</x:v>
      </x:c>
      <x:c r="G201" s="49">
        <x:v>-1500</x:v>
      </x:c>
      <x:c r="H201" s="48" t="s">
        <x:v>82</x:v>
      </x:c>
      <x:c r="I201" s="33" t="s">
        <x:v>187</x:v>
      </x:c>
      <x:c r="J201" s="37">
        <x:v>46119</x:v>
      </x:c>
      <x:c r="K201" s="22" t="s">
        <x:v>30</x:v>
      </x:c>
    </x:row>
    <x:row r="202">
      <x:c r="A202" s="34" t="s">
        <x:v>213</x:v>
      </x:c>
      <x:c r="B202" s="32">
        <x:v>46113</x:v>
      </x:c>
      <x:c r="C202" s="45" t="str">
        <x:f t="shared" si="3"/>
        <x:v>ABRIL</x:v>
      </x:c>
      <x:c r="D202" s="34" t="s">
        <x:v>89</x:v>
      </x:c>
      <x:c r="E202" s="34" t="s">
        <x:v>163</x:v>
      </x:c>
      <x:c r="F202" s="34" t="s">
        <x:v>48</x:v>
      </x:c>
      <x:c r="G202" s="49">
        <x:v>21000</x:v>
      </x:c>
      <x:c r="H202" s="48" t="s">
        <x:v>91</x:v>
      </x:c>
      <x:c r="I202" s="33" t="s">
        <x:v>187</x:v>
      </x:c>
      <x:c r="J202" s="37">
        <x:v>46119</x:v>
      </x:c>
      <x:c r="K202" s="22" t="s">
        <x:v>30</x:v>
      </x:c>
    </x:row>
    <x:row r="203">
      <x:c r="A203" s="34" t="s">
        <x:v>214</x:v>
      </x:c>
      <x:c r="B203" s="32">
        <x:v>46113</x:v>
      </x:c>
      <x:c r="C203" s="45" t="str">
        <x:f t="shared" si="3"/>
        <x:v>ABRIL</x:v>
      </x:c>
      <x:c r="D203" s="34" t="s">
        <x:v>85</x:v>
      </x:c>
      <x:c r="E203" s="34" t="s">
        <x:v>186</x:v>
      </x:c>
      <x:c r="F203" s="34" t="s">
        <x:v>48</x:v>
      </x:c>
      <x:c r="G203" s="49">
        <x:v>-619.5</x:v>
      </x:c>
      <x:c r="H203" s="48" t="s">
        <x:v>82</x:v>
      </x:c>
      <x:c r="I203" s="33" t="s">
        <x:v>83</x:v>
      </x:c>
      <x:c r="J203" s="37">
        <x:v>46118</x:v>
      </x:c>
      <x:c r="K203" s="22" t="s">
        <x:v>30</x:v>
      </x:c>
    </x:row>
    <x:row r="204">
      <x:c r="A204" s="34" t="s">
        <x:v>182</x:v>
      </x:c>
      <x:c r="B204" s="32">
        <x:v>46113</x:v>
      </x:c>
      <x:c r="C204" s="45" t="str">
        <x:f t="shared" si="3"/>
        <x:v>ABRIL</x:v>
      </x:c>
      <x:c r="D204" s="34" t="s">
        <x:v>162</x:v>
      </x:c>
      <x:c r="E204" s="34" t="s">
        <x:v>163</x:v>
      </x:c>
      <x:c r="F204" s="34" t="s">
        <x:v>48</x:v>
      </x:c>
      <x:c r="G204" s="49">
        <x:v>-400</x:v>
      </x:c>
      <x:c r="H204" s="48" t="s">
        <x:v>82</x:v>
      </x:c>
      <x:c r="I204" s="33" t="s">
        <x:v>83</x:v>
      </x:c>
      <x:c r="J204" s="37">
        <x:v>46118</x:v>
      </x:c>
      <x:c r="K204" s="22" t="s">
        <x:v>30</x:v>
      </x:c>
    </x:row>
    <x:row r="205">
      <x:c r="A205" s="34" t="s">
        <x:v>215</x:v>
      </x:c>
      <x:c r="B205" s="32">
        <x:v>46082</x:v>
      </x:c>
      <x:c r="C205" s="45" t="str">
        <x:f t="shared" si="3"/>
        <x:v>MARÇO</x:v>
      </x:c>
      <x:c r="D205" s="34" t="s">
        <x:v>165</x:v>
      </x:c>
      <x:c r="E205" s="34" t="s">
        <x:v>163</x:v>
      </x:c>
      <x:c r="F205" s="34" t="s">
        <x:v>48</x:v>
      </x:c>
      <x:c r="G205" s="49">
        <x:v>-6525.09</x:v>
      </x:c>
      <x:c r="H205" s="48" t="s">
        <x:v>82</x:v>
      </x:c>
      <x:c r="I205" s="33" t="s">
        <x:v>83</x:v>
      </x:c>
      <x:c r="J205" s="37">
        <x:v>46114</x:v>
      </x:c>
      <x:c r="K205" s="22" t="s">
        <x:v>30</x:v>
      </x:c>
    </x:row>
    <x:row r="206">
      <x:c r="A206" s="34" t="s">
        <x:v>216</x:v>
      </x:c>
      <x:c r="B206" s="32">
        <x:v>46113</x:v>
      </x:c>
      <x:c r="C206" s="45" t="str">
        <x:f t="shared" si="3"/>
        <x:v>ABRIL</x:v>
      </x:c>
      <x:c r="D206" s="34" t="s">
        <x:v>216</x:v>
      </x:c>
      <x:c r="E206" s="34" t="s">
        <x:v>149</x:v>
      </x:c>
      <x:c r="F206" s="34" t="s">
        <x:v>48</x:v>
      </x:c>
      <x:c r="G206" s="49">
        <x:v>-87</x:v>
      </x:c>
      <x:c r="H206" s="48" t="s">
        <x:v>82</x:v>
      </x:c>
      <x:c r="I206" s="33" t="s">
        <x:v>83</x:v>
      </x:c>
      <x:c r="J206" s="37">
        <x:v>46114</x:v>
      </x:c>
      <x:c r="K206" s="22" t="s">
        <x:v>30</x:v>
      </x:c>
    </x:row>
    <x:row r="207">
      <x:c r="A207" s="34" t="s">
        <x:v>216</x:v>
      </x:c>
      <x:c r="B207" s="32">
        <x:v>46113</x:v>
      </x:c>
      <x:c r="C207" s="45" t="str">
        <x:f t="shared" si="3"/>
        <x:v>ABRIL</x:v>
      </x:c>
      <x:c r="D207" s="34" t="s">
        <x:v>216</x:v>
      </x:c>
      <x:c r="E207" s="34" t="s">
        <x:v>149</x:v>
      </x:c>
      <x:c r="F207" s="34" t="s">
        <x:v>48</x:v>
      </x:c>
      <x:c r="G207" s="49">
        <x:v>-5.22</x:v>
      </x:c>
      <x:c r="H207" s="48" t="s">
        <x:v>82</x:v>
      </x:c>
      <x:c r="I207" s="33" t="s">
        <x:v>83</x:v>
      </x:c>
      <x:c r="J207" s="37">
        <x:v>46114</x:v>
      </x:c>
      <x:c r="K207" s="22" t="s">
        <x:v>30</x:v>
      </x:c>
    </x:row>
    <x:row r="208">
      <x:c r="A208" s="34" t="s">
        <x:v>217</x:v>
      </x:c>
      <x:c r="B208" s="32">
        <x:v>46113</x:v>
      </x:c>
      <x:c r="C208" s="45" t="str">
        <x:f t="shared" si="3"/>
        <x:v>ABRIL</x:v>
      </x:c>
      <x:c r="D208" s="34" t="s">
        <x:v>89</x:v>
      </x:c>
      <x:c r="E208" s="34" t="s">
        <x:v>163</x:v>
      </x:c>
      <x:c r="F208" s="34" t="s">
        <x:v>48</x:v>
      </x:c>
      <x:c r="G208" s="49">
        <x:v>2000</x:v>
      </x:c>
      <x:c r="H208" s="48" t="s">
        <x:v>91</x:v>
      </x:c>
      <x:c r="I208" s="33" t="s">
        <x:v>187</x:v>
      </x:c>
      <x:c r="J208" s="37">
        <x:v>46113</x:v>
      </x:c>
      <x:c r="K208" s="22" t="s">
        <x:v>30</x:v>
      </x:c>
    </x:row>
    <x:row r="209">
      <x:c r="A209" s="34" t="s">
        <x:v>218</x:v>
      </x:c>
      <x:c r="B209" s="32">
        <x:v>46082</x:v>
      </x:c>
      <x:c r="C209" s="45" t="str">
        <x:f t="shared" si="3"/>
        <x:v>MARÇO</x:v>
      </x:c>
      <x:c r="D209" s="34" t="s">
        <x:v>89</x:v>
      </x:c>
      <x:c r="E209" s="34" t="s">
        <x:v>178</x:v>
      </x:c>
      <x:c r="F209" s="34" t="s">
        <x:v>48</x:v>
      </x:c>
      <x:c r="G209" s="49">
        <x:v>11991</x:v>
      </x:c>
      <x:c r="H209" s="48" t="s">
        <x:v>91</x:v>
      </x:c>
      <x:c r="I209" s="33" t="s">
        <x:v>83</x:v>
      </x:c>
      <x:c r="J209" s="37">
        <x:v>46113</x:v>
      </x:c>
      <x:c r="K209" s="22" t="s">
        <x:v>30</x:v>
      </x:c>
    </x:row>
    <x:row r="210">
      <x:c r="A210" s="34" t="s">
        <x:v>219</x:v>
      </x:c>
      <x:c r="B210" s="32">
        <x:v>46082</x:v>
      </x:c>
      <x:c r="C210" s="45" t="str">
        <x:f t="shared" si="3"/>
        <x:v>MARÇO</x:v>
      </x:c>
      <x:c r="D210" s="34" t="s">
        <x:v>89</x:v>
      </x:c>
      <x:c r="E210" s="34" t="s">
        <x:v>178</x:v>
      </x:c>
      <x:c r="F210" s="34" t="s">
        <x:v>48</x:v>
      </x:c>
      <x:c r="G210" s="49">
        <x:v>3321.5</x:v>
      </x:c>
      <x:c r="H210" s="48" t="s">
        <x:v>91</x:v>
      </x:c>
      <x:c r="I210" s="33" t="s">
        <x:v>83</x:v>
      </x:c>
      <x:c r="J210" s="37">
        <x:v>46113</x:v>
      </x:c>
      <x:c r="K210" s="22" t="s">
        <x:v>30</x:v>
      </x:c>
    </x:row>
    <x:row r="211">
      <x:c r="A211" s="34"/>
      <x:c r="B211" s="32">
        <x:v>46082</x:v>
      </x:c>
      <x:c r="C211" s="45" t="str">
        <x:f t="shared" si="3"/>
        <x:v>MARÇO</x:v>
      </x:c>
      <x:c r="D211" s="34" t="s">
        <x:v>85</x:v>
      </x:c>
      <x:c r="E211" s="34" t="s">
        <x:v>178</x:v>
      </x:c>
      <x:c r="F211" s="34" t="s">
        <x:v>48</x:v>
      </x:c>
      <x:c r="G211" s="49">
        <x:v>-1484</x:v>
      </x:c>
      <x:c r="H211" s="48" t="s">
        <x:v>82</x:v>
      </x:c>
      <x:c r="I211" s="33" t="s">
        <x:v>83</x:v>
      </x:c>
      <x:c r="J211" s="37">
        <x:v>46112</x:v>
      </x:c>
      <x:c r="K211" s="22" t="s">
        <x:v>30</x:v>
      </x:c>
    </x:row>
    <x:row r="212">
      <x:c r="A212" s="34" t="s">
        <x:v>220</x:v>
      </x:c>
      <x:c r="B212" s="32">
        <x:v>46082</x:v>
      </x:c>
      <x:c r="C212" s="45" t="str">
        <x:f t="shared" si="3"/>
        <x:v>MARÇO</x:v>
      </x:c>
      <x:c r="D212" s="34" t="s">
        <x:v>85</x:v>
      </x:c>
      <x:c r="E212" s="34" t="s">
        <x:v>170</x:v>
      </x:c>
      <x:c r="F212" s="34" t="s">
        <x:v>48</x:v>
      </x:c>
      <x:c r="G212" s="49">
        <x:v>-1571.93</x:v>
      </x:c>
      <x:c r="H212" s="48" t="s">
        <x:v>82</x:v>
      </x:c>
      <x:c r="I212" s="33" t="s">
        <x:v>83</x:v>
      </x:c>
      <x:c r="J212" s="37">
        <x:v>46112</x:v>
      </x:c>
      <x:c r="K212" s="22" t="s">
        <x:v>30</x:v>
      </x:c>
    </x:row>
    <x:row r="213">
      <x:c r="A213" s="34" t="s">
        <x:v>221</x:v>
      </x:c>
      <x:c r="B213" s="32">
        <x:v>46082</x:v>
      </x:c>
      <x:c r="C213" s="45" t="str">
        <x:f t="shared" si="3"/>
        <x:v>MARÇO</x:v>
      </x:c>
      <x:c r="D213" s="34" t="s">
        <x:v>201</x:v>
      </x:c>
      <x:c r="E213" s="34" t="s">
        <x:v>183</x:v>
      </x:c>
      <x:c r="F213" s="34" t="s">
        <x:v>48</x:v>
      </x:c>
      <x:c r="G213" s="49">
        <x:v>-1535.7</x:v>
      </x:c>
      <x:c r="H213" s="48" t="s">
        <x:v>82</x:v>
      </x:c>
      <x:c r="I213" s="33" t="s">
        <x:v>83</x:v>
      </x:c>
      <x:c r="J213" s="37">
        <x:v>46112</x:v>
      </x:c>
      <x:c r="K213" s="22" t="s">
        <x:v>30</x:v>
      </x:c>
    </x:row>
    <x:row r="214">
      <x:c r="A214" s="34" t="s">
        <x:v>222</x:v>
      </x:c>
      <x:c r="B214" s="32">
        <x:v>46082</x:v>
      </x:c>
      <x:c r="C214" s="45" t="str">
        <x:f t="shared" si="3"/>
        <x:v>MARÇO</x:v>
      </x:c>
      <x:c r="D214" s="34" t="s">
        <x:v>201</x:v>
      </x:c>
      <x:c r="E214" s="34" t="s">
        <x:v>183</x:v>
      </x:c>
      <x:c r="F214" s="34" t="s">
        <x:v>48</x:v>
      </x:c>
      <x:c r="G214" s="49">
        <x:v>-2692</x:v>
      </x:c>
      <x:c r="H214" s="48" t="s">
        <x:v>82</x:v>
      </x:c>
      <x:c r="I214" s="33" t="s">
        <x:v>83</x:v>
      </x:c>
      <x:c r="J214" s="37">
        <x:v>46112</x:v>
      </x:c>
      <x:c r="K214" s="22" t="s">
        <x:v>30</x:v>
      </x:c>
    </x:row>
    <x:row r="215">
      <x:c r="A215" s="34" t="s">
        <x:v>177</x:v>
      </x:c>
      <x:c r="B215" s="32">
        <x:v>46082</x:v>
      </x:c>
      <x:c r="C215" s="45" t="str">
        <x:f t="shared" si="3"/>
        <x:v>MARÇO</x:v>
      </x:c>
      <x:c r="D215" s="34" t="s">
        <x:v>85</x:v>
      </x:c>
      <x:c r="E215" s="34" t="s">
        <x:v>178</x:v>
      </x:c>
      <x:c r="F215" s="34" t="s">
        <x:v>48</x:v>
      </x:c>
      <x:c r="G215" s="49">
        <x:v>20000</x:v>
      </x:c>
      <x:c r="H215" s="48" t="s">
        <x:v>82</x:v>
      </x:c>
      <x:c r="I215" s="33" t="s">
        <x:v>83</x:v>
      </x:c>
      <x:c r="J215" s="37">
        <x:v>46111</x:v>
      </x:c>
      <x:c r="K215" s="22" t="s">
        <x:v>30</x:v>
      </x:c>
    </x:row>
    <x:row r="216">
      <x:c r="A216" s="34" t="s">
        <x:v>177</x:v>
      </x:c>
      <x:c r="B216" s="32">
        <x:v>46082</x:v>
      </x:c>
      <x:c r="C216" s="45" t="str">
        <x:f t="shared" si="3"/>
        <x:v>MARÇO</x:v>
      </x:c>
      <x:c r="D216" s="34" t="s">
        <x:v>85</x:v>
      </x:c>
      <x:c r="E216" s="34" t="s">
        <x:v>178</x:v>
      </x:c>
      <x:c r="F216" s="34" t="s">
        <x:v>48</x:v>
      </x:c>
      <x:c r="G216" s="49">
        <x:v>-20000</x:v>
      </x:c>
      <x:c r="H216" s="48" t="s">
        <x:v>82</x:v>
      </x:c>
      <x:c r="I216" s="33" t="s">
        <x:v>83</x:v>
      </x:c>
      <x:c r="J216" s="37">
        <x:v>46111</x:v>
      </x:c>
      <x:c r="K216" s="22" t="s">
        <x:v>30</x:v>
      </x:c>
    </x:row>
    <x:row r="217">
      <x:c r="A217" s="34" t="s">
        <x:v>223</x:v>
      </x:c>
      <x:c r="B217" s="32">
        <x:v>46082</x:v>
      </x:c>
      <x:c r="C217" s="45" t="str">
        <x:f t="shared" si="3"/>
        <x:v>MARÇO</x:v>
      </x:c>
      <x:c r="D217" s="34" t="s">
        <x:v>183</x:v>
      </x:c>
      <x:c r="E217" s="34" t="s">
        <x:v>183</x:v>
      </x:c>
      <x:c r="F217" s="34" t="s">
        <x:v>48</x:v>
      </x:c>
      <x:c r="G217" s="49">
        <x:v>-5000</x:v>
      </x:c>
      <x:c r="H217" s="48" t="s">
        <x:v>82</x:v>
      </x:c>
      <x:c r="I217" s="33" t="s">
        <x:v>187</x:v>
      </x:c>
      <x:c r="J217" s="37">
        <x:v>46111</x:v>
      </x:c>
      <x:c r="K217" s="22" t="s">
        <x:v>30</x:v>
      </x:c>
    </x:row>
    <x:row r="218">
      <x:c r="A218" s="34" t="s">
        <x:v>224</x:v>
      </x:c>
      <x:c r="B218" s="32">
        <x:v>46082</x:v>
      </x:c>
      <x:c r="C218" s="45" t="str">
        <x:f t="shared" si="3"/>
        <x:v>MARÇO</x:v>
      </x:c>
      <x:c r="D218" s="34" t="s">
        <x:v>89</x:v>
      </x:c>
      <x:c r="E218" s="34" t="s">
        <x:v>167</x:v>
      </x:c>
      <x:c r="F218" s="34" t="s">
        <x:v>48</x:v>
      </x:c>
      <x:c r="G218" s="49">
        <x:v>14000</x:v>
      </x:c>
      <x:c r="H218" s="48" t="s">
        <x:v>91</x:v>
      </x:c>
      <x:c r="I218" s="33" t="s">
        <x:v>83</x:v>
      </x:c>
      <x:c r="J218" s="37">
        <x:v>46111</x:v>
      </x:c>
      <x:c r="K218" s="22" t="s">
        <x:v>30</x:v>
      </x:c>
    </x:row>
    <x:row r="219">
      <x:c r="A219" s="34" t="s">
        <x:v>225</x:v>
      </x:c>
      <x:c r="B219" s="32">
        <x:v>46082</x:v>
      </x:c>
      <x:c r="C219" s="45" t="str">
        <x:f t="shared" si="3"/>
        <x:v>MARÇO</x:v>
      </x:c>
      <x:c r="D219" s="34" t="s">
        <x:v>112</x:v>
      </x:c>
      <x:c r="E219" s="34" t="s">
        <x:v>149</x:v>
      </x:c>
      <x:c r="F219" s="34" t="s">
        <x:v>48</x:v>
      </x:c>
      <x:c r="G219" s="49">
        <x:v>-39659.54</x:v>
      </x:c>
      <x:c r="H219" s="48" t="s">
        <x:v>82</x:v>
      </x:c>
      <x:c r="I219" s="33" t="s">
        <x:v>83</x:v>
      </x:c>
      <x:c r="J219" s="37">
        <x:v>46111</x:v>
      </x:c>
      <x:c r="K219" s="22" t="s">
        <x:v>30</x:v>
      </x:c>
    </x:row>
    <x:row r="220">
      <x:c r="A220" s="34" t="s">
        <x:v>226</x:v>
      </x:c>
      <x:c r="B220" s="32">
        <x:v>46082</x:v>
      </x:c>
      <x:c r="C220" s="45" t="str">
        <x:f t="shared" si="3"/>
        <x:v>MARÇO</x:v>
      </x:c>
      <x:c r="D220" s="34" t="s">
        <x:v>227</x:v>
      </x:c>
      <x:c r="E220" s="34" t="s">
        <x:v>171</x:v>
      </x:c>
      <x:c r="F220" s="34" t="s">
        <x:v>48</x:v>
      </x:c>
      <x:c r="G220" s="49">
        <x:v>-21338.6</x:v>
      </x:c>
      <x:c r="H220" s="48" t="s">
        <x:v>82</x:v>
      </x:c>
      <x:c r="I220" s="33" t="s">
        <x:v>83</x:v>
      </x:c>
      <x:c r="J220" s="37">
        <x:v>46111</x:v>
      </x:c>
      <x:c r="K220" s="22" t="s">
        <x:v>30</x:v>
      </x:c>
    </x:row>
    <x:row r="221">
      <x:c r="A221" s="34" t="s">
        <x:v>228</x:v>
      </x:c>
      <x:c r="B221" s="32">
        <x:v>46082</x:v>
      </x:c>
      <x:c r="C221" s="45" t="str">
        <x:f t="shared" si="3"/>
        <x:v>MARÇO</x:v>
      </x:c>
      <x:c r="D221" s="34" t="s">
        <x:v>85</x:v>
      </x:c>
      <x:c r="E221" s="34" t="s">
        <x:v>186</x:v>
      </x:c>
      <x:c r="F221" s="34" t="s">
        <x:v>48</x:v>
      </x:c>
      <x:c r="G221" s="49">
        <x:v>-133.77000000000001</x:v>
      </x:c>
      <x:c r="H221" s="48" t="s">
        <x:v>82</x:v>
      </x:c>
      <x:c r="I221" s="33" t="s">
        <x:v>83</x:v>
      </x:c>
      <x:c r="J221" s="37">
        <x:v>46111</x:v>
      </x:c>
      <x:c r="K221" s="22" t="s">
        <x:v>30</x:v>
      </x:c>
    </x:row>
    <x:row r="222">
      <x:c r="A222" s="34" t="s">
        <x:v>229</x:v>
      </x:c>
      <x:c r="B222" s="32">
        <x:v>46082</x:v>
      </x:c>
      <x:c r="C222" s="45" t="str">
        <x:f t="shared" si="3"/>
        <x:v>MARÇO</x:v>
      </x:c>
      <x:c r="D222" s="34" t="s">
        <x:v>85</x:v>
      </x:c>
      <x:c r="E222" s="34" t="s">
        <x:v>186</x:v>
      </x:c>
      <x:c r="F222" s="34" t="s">
        <x:v>48</x:v>
      </x:c>
      <x:c r="G222" s="49">
        <x:v>-80.599999999999994</x:v>
      </x:c>
      <x:c r="H222" s="48" t="s">
        <x:v>82</x:v>
      </x:c>
      <x:c r="I222" s="33" t="s">
        <x:v>83</x:v>
      </x:c>
      <x:c r="J222" s="37">
        <x:v>46111</x:v>
      </x:c>
      <x:c r="K222" s="22" t="s">
        <x:v>30</x:v>
      </x:c>
    </x:row>
    <x:row r="223">
      <x:c r="A223" s="34"/>
      <x:c r="B223" s="32">
        <x:v>46082</x:v>
      </x:c>
      <x:c r="C223" s="45" t="str">
        <x:f t="shared" si="3"/>
        <x:v>MARÇO</x:v>
      </x:c>
      <x:c r="D223" s="34" t="s">
        <x:v>85</x:v>
      </x:c>
      <x:c r="E223" s="34" t="s">
        <x:v>178</x:v>
      </x:c>
      <x:c r="F223" s="34" t="s">
        <x:v>48</x:v>
      </x:c>
      <x:c r="G223" s="49">
        <x:v>-1850</x:v>
      </x:c>
      <x:c r="H223" s="48" t="s">
        <x:v>82</x:v>
      </x:c>
      <x:c r="I223" s="33" t="s">
        <x:v>83</x:v>
      </x:c>
      <x:c r="J223" s="37">
        <x:v>46108</x:v>
      </x:c>
      <x:c r="K223" s="22" t="s">
        <x:v>30</x:v>
      </x:c>
    </x:row>
    <x:row r="224">
      <x:c r="A224" s="34" t="s">
        <x:v>230</x:v>
      </x:c>
      <x:c r="B224" s="32">
        <x:v>46082</x:v>
      </x:c>
      <x:c r="C224" s="45" t="str">
        <x:f t="shared" si="3"/>
        <x:v>MARÇO</x:v>
      </x:c>
      <x:c r="D224" s="34" t="s">
        <x:v>89</x:v>
      </x:c>
      <x:c r="E224" s="34" t="s">
        <x:v>178</x:v>
      </x:c>
      <x:c r="F224" s="34" t="s">
        <x:v>48</x:v>
      </x:c>
      <x:c r="G224" s="49">
        <x:v>22260</x:v>
      </x:c>
      <x:c r="H224" s="48" t="s">
        <x:v>91</x:v>
      </x:c>
      <x:c r="I224" s="33" t="s">
        <x:v>83</x:v>
      </x:c>
      <x:c r="J224" s="37">
        <x:v>46108</x:v>
      </x:c>
      <x:c r="K224" s="22" t="s">
        <x:v>30</x:v>
      </x:c>
    </x:row>
    <x:row r="225">
      <x:c r="A225" s="34" t="s">
        <x:v>231</x:v>
      </x:c>
      <x:c r="B225" s="32">
        <x:v>46082</x:v>
      </x:c>
      <x:c r="C225" s="45" t="str">
        <x:f t="shared" si="3"/>
        <x:v>MARÇO</x:v>
      </x:c>
      <x:c r="D225" s="34" t="s">
        <x:v>85</x:v>
      </x:c>
      <x:c r="E225" s="34" t="s">
        <x:v>231</x:v>
      </x:c>
      <x:c r="F225" s="34" t="s">
        <x:v>48</x:v>
      </x:c>
      <x:c r="G225" s="49">
        <x:v>-1900</x:v>
      </x:c>
      <x:c r="H225" s="48" t="s">
        <x:v>82</x:v>
      </x:c>
      <x:c r="I225" s="33" t="s">
        <x:v>83</x:v>
      </x:c>
      <x:c r="J225" s="37">
        <x:v>46106</x:v>
      </x:c>
      <x:c r="K225" s="22" t="s">
        <x:v>30</x:v>
      </x:c>
    </x:row>
    <x:row r="226">
      <x:c r="A226" s="34" t="s">
        <x:v>232</x:v>
      </x:c>
      <x:c r="B226" s="32">
        <x:v>46082</x:v>
      </x:c>
      <x:c r="C226" s="45" t="str">
        <x:f t="shared" si="3"/>
        <x:v>MARÇO</x:v>
      </x:c>
      <x:c r="D226" s="34" t="s">
        <x:v>233</x:v>
      </x:c>
      <x:c r="E226" s="34" t="s">
        <x:v>133</x:v>
      </x:c>
      <x:c r="F226" s="34" t="s">
        <x:v>48</x:v>
      </x:c>
      <x:c r="G226" s="49">
        <x:v>-2487.64</x:v>
      </x:c>
      <x:c r="H226" s="48" t="s">
        <x:v>82</x:v>
      </x:c>
      <x:c r="I226" s="33" t="s">
        <x:v>83</x:v>
      </x:c>
      <x:c r="J226" s="37">
        <x:v>46106</x:v>
      </x:c>
      <x:c r="K226" s="22" t="s">
        <x:v>30</x:v>
      </x:c>
    </x:row>
    <x:row r="227">
      <x:c r="A227" s="34" t="s">
        <x:v>234</x:v>
      </x:c>
      <x:c r="B227" s="32">
        <x:v>46082</x:v>
      </x:c>
      <x:c r="C227" s="45" t="str">
        <x:f t="shared" si="3"/>
        <x:v>MARÇO</x:v>
      </x:c>
      <x:c r="D227" s="34" t="s">
        <x:v>162</x:v>
      </x:c>
      <x:c r="E227" s="34" t="s">
        <x:v>163</x:v>
      </x:c>
      <x:c r="F227" s="34" t="s">
        <x:v>48</x:v>
      </x:c>
      <x:c r="G227" s="49">
        <x:v>-500</x:v>
      </x:c>
      <x:c r="H227" s="48" t="s">
        <x:v>82</x:v>
      </x:c>
      <x:c r="I227" s="33" t="s">
        <x:v>83</x:v>
      </x:c>
      <x:c r="J227" s="37">
        <x:v>46106</x:v>
      </x:c>
      <x:c r="K227" s="22" t="s">
        <x:v>30</x:v>
      </x:c>
    </x:row>
    <x:row r="228">
      <x:c r="A228" s="34" t="s">
        <x:v>235</x:v>
      </x:c>
      <x:c r="B228" s="32">
        <x:v>46082</x:v>
      </x:c>
      <x:c r="C228" s="45" t="str">
        <x:f t="shared" si="3"/>
        <x:v>MARÇO</x:v>
      </x:c>
      <x:c r="D228" s="34" t="s">
        <x:v>85</x:v>
      </x:c>
      <x:c r="E228" s="34" t="s">
        <x:v>170</x:v>
      </x:c>
      <x:c r="F228" s="34" t="s">
        <x:v>48</x:v>
      </x:c>
      <x:c r="G228" s="49">
        <x:v>-372.03</x:v>
      </x:c>
      <x:c r="H228" s="48" t="s">
        <x:v>82</x:v>
      </x:c>
      <x:c r="I228" s="33" t="s">
        <x:v>83</x:v>
      </x:c>
      <x:c r="J228" s="37">
        <x:v>46105</x:v>
      </x:c>
      <x:c r="K228" s="22" t="s">
        <x:v>30</x:v>
      </x:c>
    </x:row>
    <x:row r="229">
      <x:c r="A229" s="34" t="s">
        <x:v>192</x:v>
      </x:c>
      <x:c r="B229" s="32">
        <x:v>46082</x:v>
      </x:c>
      <x:c r="C229" s="45" t="str">
        <x:f t="shared" si="3"/>
        <x:v>MARÇO</x:v>
      </x:c>
      <x:c r="D229" s="34" t="s">
        <x:v>236</x:v>
      </x:c>
      <x:c r="E229" s="34" t="s">
        <x:v>192</x:v>
      </x:c>
      <x:c r="F229" s="34" t="s">
        <x:v>48</x:v>
      </x:c>
      <x:c r="G229" s="49">
        <x:v>-603.86</x:v>
      </x:c>
      <x:c r="H229" s="48" t="s">
        <x:v>82</x:v>
      </x:c>
      <x:c r="I229" s="33" t="s">
        <x:v>83</x:v>
      </x:c>
      <x:c r="J229" s="37">
        <x:v>46104</x:v>
      </x:c>
      <x:c r="K229" s="22" t="s">
        <x:v>30</x:v>
      </x:c>
    </x:row>
    <x:row r="230">
      <x:c r="A230" s="34" t="s">
        <x:v>237</x:v>
      </x:c>
      <x:c r="B230" s="32">
        <x:v>46082</x:v>
      </x:c>
      <x:c r="C230" s="45" t="str">
        <x:f t="shared" si="3"/>
        <x:v>MARÇO</x:v>
      </x:c>
      <x:c r="D230" s="34" t="s">
        <x:v>85</x:v>
      </x:c>
      <x:c r="E230" s="34" t="s">
        <x:v>170</x:v>
      </x:c>
      <x:c r="F230" s="34" t="s">
        <x:v>48</x:v>
      </x:c>
      <x:c r="G230" s="49">
        <x:v>-295</x:v>
      </x:c>
      <x:c r="H230" s="48" t="s">
        <x:v>82</x:v>
      </x:c>
      <x:c r="I230" s="33" t="s">
        <x:v>83</x:v>
      </x:c>
      <x:c r="J230" s="37">
        <x:v>46104</x:v>
      </x:c>
      <x:c r="K230" s="22" t="s">
        <x:v>30</x:v>
      </x:c>
    </x:row>
    <x:row r="231">
      <x:c r="A231" s="34" t="s">
        <x:v>238</x:v>
      </x:c>
      <x:c r="B231" s="32">
        <x:v>46082</x:v>
      </x:c>
      <x:c r="C231" s="45" t="str">
        <x:f t="shared" si="3"/>
        <x:v>MARÇO</x:v>
      </x:c>
      <x:c r="D231" s="34" t="s">
        <x:v>85</x:v>
      </x:c>
      <x:c r="E231" s="34" t="s">
        <x:v>170</x:v>
      </x:c>
      <x:c r="F231" s="34" t="s">
        <x:v>48</x:v>
      </x:c>
      <x:c r="G231" s="49">
        <x:v>-1550</x:v>
      </x:c>
      <x:c r="H231" s="48" t="s">
        <x:v>82</x:v>
      </x:c>
      <x:c r="I231" s="33" t="s">
        <x:v>83</x:v>
      </x:c>
      <x:c r="J231" s="37">
        <x:v>46104</x:v>
      </x:c>
      <x:c r="K231" s="22" t="s">
        <x:v>30</x:v>
      </x:c>
    </x:row>
    <x:row r="232">
      <x:c r="A232" s="34"/>
      <x:c r="B232" s="32">
        <x:v>46082</x:v>
      </x:c>
      <x:c r="C232" s="45" t="str">
        <x:f t="shared" si="3"/>
        <x:v>MARÇO</x:v>
      </x:c>
      <x:c r="D232" s="34" t="s">
        <x:v>89</x:v>
      </x:c>
      <x:c r="E232" s="34" t="s">
        <x:v>178</x:v>
      </x:c>
      <x:c r="F232" s="34" t="s">
        <x:v>48</x:v>
      </x:c>
      <x:c r="G232" s="49">
        <x:v>3307</x:v>
      </x:c>
      <x:c r="H232" s="48" t="s">
        <x:v>91</x:v>
      </x:c>
      <x:c r="I232" s="33" t="s">
        <x:v>83</x:v>
      </x:c>
      <x:c r="J232" s="37">
        <x:v>46101</x:v>
      </x:c>
      <x:c r="K232" s="22" t="s">
        <x:v>30</x:v>
      </x:c>
    </x:row>
    <x:row r="233">
      <x:c r="A233" s="34" t="s">
        <x:v>234</x:v>
      </x:c>
      <x:c r="B233" s="32">
        <x:v>46082</x:v>
      </x:c>
      <x:c r="C233" s="45" t="str">
        <x:f t="shared" si="3"/>
        <x:v>MARÇO</x:v>
      </x:c>
      <x:c r="D233" s="34" t="s">
        <x:v>162</x:v>
      </x:c>
      <x:c r="E233" s="34" t="s">
        <x:v>163</x:v>
      </x:c>
      <x:c r="F233" s="34" t="s">
        <x:v>48</x:v>
      </x:c>
      <x:c r="G233" s="49">
        <x:v>-500</x:v>
      </x:c>
      <x:c r="H233" s="48" t="s">
        <x:v>82</x:v>
      </x:c>
      <x:c r="I233" s="33" t="s">
        <x:v>83</x:v>
      </x:c>
      <x:c r="J233" s="37">
        <x:v>46101</x:v>
      </x:c>
      <x:c r="K233" s="22" t="s">
        <x:v>30</x:v>
      </x:c>
    </x:row>
    <x:row r="234">
      <x:c r="A234" s="34" t="s">
        <x:v>177</x:v>
      </x:c>
      <x:c r="B234" s="32">
        <x:v>46082</x:v>
      </x:c>
      <x:c r="C234" s="45" t="str">
        <x:f t="shared" si="3"/>
        <x:v>MARÇO</x:v>
      </x:c>
      <x:c r="D234" s="34" t="s">
        <x:v>227</x:v>
      </x:c>
      <x:c r="E234" s="34" t="s">
        <x:v>178</x:v>
      </x:c>
      <x:c r="F234" s="34" t="s">
        <x:v>48</x:v>
      </x:c>
      <x:c r="G234" s="49">
        <x:v>17500</x:v>
      </x:c>
      <x:c r="H234" s="48" t="s">
        <x:v>82</x:v>
      </x:c>
      <x:c r="I234" s="33" t="s">
        <x:v>83</x:v>
      </x:c>
      <x:c r="J234" s="37">
        <x:v>46101</x:v>
      </x:c>
      <x:c r="K234" s="22" t="s">
        <x:v>30</x:v>
      </x:c>
    </x:row>
    <x:row r="235">
      <x:c r="A235" s="34" t="s">
        <x:v>177</x:v>
      </x:c>
      <x:c r="B235" s="32">
        <x:v>46082</x:v>
      </x:c>
      <x:c r="C235" s="45" t="str">
        <x:f t="shared" si="3"/>
        <x:v>MARÇO</x:v>
      </x:c>
      <x:c r="D235" s="34" t="s">
        <x:v>227</x:v>
      </x:c>
      <x:c r="E235" s="34" t="s">
        <x:v>178</x:v>
      </x:c>
      <x:c r="F235" s="34" t="s">
        <x:v>48</x:v>
      </x:c>
      <x:c r="G235" s="49">
        <x:v>-17500</x:v>
      </x:c>
      <x:c r="H235" s="48" t="s">
        <x:v>82</x:v>
      </x:c>
      <x:c r="I235" s="33" t="s">
        <x:v>83</x:v>
      </x:c>
      <x:c r="J235" s="37">
        <x:v>46101</x:v>
      </x:c>
      <x:c r="K235" s="22" t="s">
        <x:v>30</x:v>
      </x:c>
    </x:row>
    <x:row r="236">
      <x:c r="A236" s="34"/>
      <x:c r="B236" s="32">
        <x:v>46082</x:v>
      </x:c>
      <x:c r="C236" s="45" t="str">
        <x:f t="shared" si="3"/>
        <x:v>MARÇO</x:v>
      </x:c>
      <x:c r="D236" s="34" t="s">
        <x:v>85</x:v>
      </x:c>
      <x:c r="E236" s="34"/>
      <x:c r="F236" s="34" t="s">
        <x:v>48</x:v>
      </x:c>
      <x:c r="G236" s="49">
        <x:v>-2021.99</x:v>
      </x:c>
      <x:c r="H236" s="48" t="s">
        <x:v>82</x:v>
      </x:c>
      <x:c r="I236" s="33" t="s">
        <x:v>83</x:v>
      </x:c>
      <x:c r="J236" s="37">
        <x:v>46101</x:v>
      </x:c>
      <x:c r="K236" s="22" t="s">
        <x:v>30</x:v>
      </x:c>
    </x:row>
    <x:row r="237">
      <x:c r="A237" s="34" t="s">
        <x:v>197</x:v>
      </x:c>
      <x:c r="B237" s="32">
        <x:v>46082</x:v>
      </x:c>
      <x:c r="C237" s="45" t="str">
        <x:f t="shared" si="3"/>
        <x:v>MARÇO</x:v>
      </x:c>
      <x:c r="D237" s="34" t="s">
        <x:v>236</x:v>
      </x:c>
      <x:c r="E237" s="34" t="s">
        <x:v>197</x:v>
      </x:c>
      <x:c r="F237" s="34" t="s">
        <x:v>48</x:v>
      </x:c>
      <x:c r="G237" s="49">
        <x:v>-89.9</x:v>
      </x:c>
      <x:c r="H237" s="48" t="s">
        <x:v>82</x:v>
      </x:c>
      <x:c r="I237" s="33" t="s">
        <x:v>83</x:v>
      </x:c>
      <x:c r="J237" s="37">
        <x:v>46101</x:v>
      </x:c>
      <x:c r="K237" s="22" t="s">
        <x:v>30</x:v>
      </x:c>
    </x:row>
    <x:row r="238">
      <x:c r="A238" s="34" t="s">
        <x:v>115</x:v>
      </x:c>
      <x:c r="B238" s="32">
        <x:v>46082</x:v>
      </x:c>
      <x:c r="C238" s="45" t="str">
        <x:f t="shared" si="3"/>
        <x:v>MARÇO</x:v>
      </x:c>
      <x:c r="D238" s="34" t="s">
        <x:v>116</x:v>
      </x:c>
      <x:c r="E238" s="34" t="s">
        <x:v>117</x:v>
      </x:c>
      <x:c r="F238" s="34" t="s">
        <x:v>48</x:v>
      </x:c>
      <x:c r="G238" s="49">
        <x:v>-1932.02</x:v>
      </x:c>
      <x:c r="H238" s="48" t="s">
        <x:v>82</x:v>
      </x:c>
      <x:c r="I238" s="33" t="s">
        <x:v>83</x:v>
      </x:c>
      <x:c r="J238" s="37">
        <x:v>46101</x:v>
      </x:c>
      <x:c r="K238" s="22" t="s">
        <x:v>30</x:v>
      </x:c>
    </x:row>
    <x:row r="239">
      <x:c r="A239" s="34"/>
      <x:c r="B239" s="32">
        <x:v>46082</x:v>
      </x:c>
      <x:c r="C239" s="45" t="str">
        <x:f t="shared" si="3"/>
        <x:v>MARÇO</x:v>
      </x:c>
      <x:c r="D239" s="34" t="s">
        <x:v>85</x:v>
      </x:c>
      <x:c r="E239" s="34"/>
      <x:c r="F239" s="34" t="s">
        <x:v>48</x:v>
      </x:c>
      <x:c r="G239" s="49">
        <x:v>-2150</x:v>
      </x:c>
      <x:c r="H239" s="48" t="s">
        <x:v>82</x:v>
      </x:c>
      <x:c r="I239" s="33" t="s">
        <x:v>83</x:v>
      </x:c>
      <x:c r="J239" s="37">
        <x:v>46100</x:v>
      </x:c>
      <x:c r="K239" s="22" t="s">
        <x:v>30</x:v>
      </x:c>
    </x:row>
    <x:row r="240">
      <x:c r="A240" s="34" t="s">
        <x:v>239</x:v>
      </x:c>
      <x:c r="B240" s="32">
        <x:v>46082</x:v>
      </x:c>
      <x:c r="C240" s="45" t="str">
        <x:f t="shared" si="3"/>
        <x:v>MARÇO</x:v>
      </x:c>
      <x:c r="D240" s="34" t="s">
        <x:v>89</x:v>
      </x:c>
      <x:c r="E240" s="34" t="s">
        <x:v>167</x:v>
      </x:c>
      <x:c r="F240" s="34" t="s">
        <x:v>48</x:v>
      </x:c>
      <x:c r="G240" s="49">
        <x:v>21000</x:v>
      </x:c>
      <x:c r="H240" s="48" t="s">
        <x:v>91</x:v>
      </x:c>
      <x:c r="I240" s="33" t="s">
        <x:v>83</x:v>
      </x:c>
      <x:c r="J240" s="37">
        <x:v>46100</x:v>
      </x:c>
      <x:c r="K240" s="22" t="s">
        <x:v>30</x:v>
      </x:c>
    </x:row>
    <x:row r="241">
      <x:c r="A241" s="34" t="s">
        <x:v>240</x:v>
      </x:c>
      <x:c r="B241" s="32">
        <x:v>46082</x:v>
      </x:c>
      <x:c r="C241" s="45" t="str">
        <x:f t="shared" si="3"/>
        <x:v>MARÇO</x:v>
      </x:c>
      <x:c r="D241" s="34" t="s">
        <x:v>85</x:v>
      </x:c>
      <x:c r="E241" s="34" t="s">
        <x:v>186</x:v>
      </x:c>
      <x:c r="F241" s="34" t="s">
        <x:v>48</x:v>
      </x:c>
      <x:c r="G241" s="49">
        <x:v>-226.57</x:v>
      </x:c>
      <x:c r="H241" s="48" t="s">
        <x:v>82</x:v>
      </x:c>
      <x:c r="I241" s="33" t="s">
        <x:v>83</x:v>
      </x:c>
      <x:c r="J241" s="37">
        <x:v>46099</x:v>
      </x:c>
      <x:c r="K241" s="22" t="s">
        <x:v>30</x:v>
      </x:c>
    </x:row>
    <x:row r="242">
      <x:c r="A242" s="34" t="s">
        <x:v>241</x:v>
      </x:c>
      <x:c r="B242" s="32">
        <x:v>46082</x:v>
      </x:c>
      <x:c r="C242" s="45" t="str">
        <x:f t="shared" si="3"/>
        <x:v>MARÇO</x:v>
      </x:c>
      <x:c r="D242" s="34" t="s">
        <x:v>85</x:v>
      </x:c>
      <x:c r="E242" s="34" t="s">
        <x:v>186</x:v>
      </x:c>
      <x:c r="F242" s="34" t="s">
        <x:v>48</x:v>
      </x:c>
      <x:c r="G242" s="49">
        <x:v>-172.88</x:v>
      </x:c>
      <x:c r="H242" s="48" t="s">
        <x:v>82</x:v>
      </x:c>
      <x:c r="I242" s="33" t="s">
        <x:v>83</x:v>
      </x:c>
      <x:c r="J242" s="37">
        <x:v>46099</x:v>
      </x:c>
      <x:c r="K242" s="22" t="s">
        <x:v>30</x:v>
      </x:c>
    </x:row>
    <x:row r="243">
      <x:c r="A243" s="34" t="s">
        <x:v>242</x:v>
      </x:c>
      <x:c r="B243" s="32">
        <x:v>46082</x:v>
      </x:c>
      <x:c r="C243" s="45" t="str">
        <x:f t="shared" si="3"/>
        <x:v>MARÇO</x:v>
      </x:c>
      <x:c r="D243" s="34" t="s">
        <x:v>162</x:v>
      </x:c>
      <x:c r="E243" s="34" t="s">
        <x:v>167</x:v>
      </x:c>
      <x:c r="F243" s="34" t="s">
        <x:v>48</x:v>
      </x:c>
      <x:c r="G243" s="49">
        <x:v>-500</x:v>
      </x:c>
      <x:c r="H243" s="48" t="s">
        <x:v>82</x:v>
      </x:c>
      <x:c r="I243" s="33" t="s">
        <x:v>83</x:v>
      </x:c>
      <x:c r="J243" s="37">
        <x:v>46098</x:v>
      </x:c>
      <x:c r="K243" s="22" t="s">
        <x:v>30</x:v>
      </x:c>
    </x:row>
    <x:row r="244">
      <x:c r="A244" s="34" t="s">
        <x:v>243</x:v>
      </x:c>
      <x:c r="B244" s="32">
        <x:v>46082</x:v>
      </x:c>
      <x:c r="C244" s="45" t="str">
        <x:f t="shared" si="3"/>
        <x:v>MARÇO</x:v>
      </x:c>
      <x:c r="D244" s="34" t="s">
        <x:v>85</x:v>
      </x:c>
      <x:c r="E244" s="34" t="s">
        <x:v>244</x:v>
      </x:c>
      <x:c r="F244" s="34" t="s">
        <x:v>48</x:v>
      </x:c>
      <x:c r="G244" s="49" t="n">
        <x:f>-88-169</x:f>
        <x:v>-257</x:v>
      </x:c>
      <x:c r="H244" s="48" t="s">
        <x:v>82</x:v>
      </x:c>
      <x:c r="I244" s="33" t="s">
        <x:v>83</x:v>
      </x:c>
      <x:c r="J244" s="37">
        <x:v>46097</x:v>
      </x:c>
      <x:c r="K244" s="22" t="s">
        <x:v>30</x:v>
      </x:c>
    </x:row>
    <x:row r="245">
      <x:c r="A245" s="34" t="s">
        <x:v>245</x:v>
      </x:c>
      <x:c r="B245" s="32">
        <x:v>46082</x:v>
      </x:c>
      <x:c r="C245" s="45" t="str">
        <x:f t="shared" si="3"/>
        <x:v>MARÇO</x:v>
      </x:c>
      <x:c r="D245" s="34" t="s">
        <x:v>110</x:v>
      </x:c>
      <x:c r="E245" s="34" t="s">
        <x:v>246</x:v>
      </x:c>
      <x:c r="F245" s="34" t="s">
        <x:v>48</x:v>
      </x:c>
      <x:c r="G245" s="49">
        <x:v>-2421.8200000000002</x:v>
      </x:c>
      <x:c r="H245" s="48" t="s">
        <x:v>82</x:v>
      </x:c>
      <x:c r="I245" s="33" t="s">
        <x:v>83</x:v>
      </x:c>
      <x:c r="J245" s="37">
        <x:v>46097</x:v>
      </x:c>
      <x:c r="K245" s="22" t="s">
        <x:v>30</x:v>
      </x:c>
    </x:row>
    <x:row r="246">
      <x:c r="A246" s="34" t="s">
        <x:v>247</x:v>
      </x:c>
      <x:c r="B246" s="32">
        <x:v>46082</x:v>
      </x:c>
      <x:c r="C246" s="45" t="str">
        <x:f t="shared" si="3"/>
        <x:v>MARÇO</x:v>
      </x:c>
      <x:c r="D246" s="34" t="s">
        <x:v>85</x:v>
      </x:c>
      <x:c r="E246" s="34" t="s">
        <x:v>171</x:v>
      </x:c>
      <x:c r="F246" s="34" t="s">
        <x:v>48</x:v>
      </x:c>
      <x:c r="G246" s="49">
        <x:v>-6845.62</x:v>
      </x:c>
      <x:c r="H246" s="48" t="s">
        <x:v>82</x:v>
      </x:c>
      <x:c r="I246" s="33" t="s">
        <x:v>83</x:v>
      </x:c>
      <x:c r="J246" s="37">
        <x:v>46097</x:v>
      </x:c>
      <x:c r="K246" s="22" t="s">
        <x:v>30</x:v>
      </x:c>
    </x:row>
    <x:row r="247">
      <x:c r="A247" s="34" t="s">
        <x:v>237</x:v>
      </x:c>
      <x:c r="B247" s="32">
        <x:v>46082</x:v>
      </x:c>
      <x:c r="C247" s="45" t="str">
        <x:f t="shared" si="3"/>
        <x:v>MARÇO</x:v>
      </x:c>
      <x:c r="D247" s="34" t="s">
        <x:v>85</x:v>
      </x:c>
      <x:c r="E247" s="34" t="s">
        <x:v>207</x:v>
      </x:c>
      <x:c r="F247" s="34" t="s">
        <x:v>48</x:v>
      </x:c>
      <x:c r="G247" s="49">
        <x:v>-696.03</x:v>
      </x:c>
      <x:c r="H247" s="48" t="s">
        <x:v>82</x:v>
      </x:c>
      <x:c r="I247" s="33" t="s">
        <x:v>83</x:v>
      </x:c>
      <x:c r="J247" s="37">
        <x:v>46097</x:v>
      </x:c>
      <x:c r="K247" s="22" t="s">
        <x:v>30</x:v>
      </x:c>
    </x:row>
    <x:row r="248">
      <x:c r="A248" s="34" t="s">
        <x:v>237</x:v>
      </x:c>
      <x:c r="B248" s="32">
        <x:v>46082</x:v>
      </x:c>
      <x:c r="C248" s="45" t="str">
        <x:f t="shared" si="3"/>
        <x:v>MARÇO</x:v>
      </x:c>
      <x:c r="D248" s="34" t="s">
        <x:v>85</x:v>
      </x:c>
      <x:c r="E248" s="34" t="s">
        <x:v>207</x:v>
      </x:c>
      <x:c r="F248" s="34" t="s">
        <x:v>48</x:v>
      </x:c>
      <x:c r="G248" s="49">
        <x:v>-356.25</x:v>
      </x:c>
      <x:c r="H248" s="48" t="s">
        <x:v>82</x:v>
      </x:c>
      <x:c r="I248" s="33" t="s">
        <x:v>83</x:v>
      </x:c>
      <x:c r="J248" s="37">
        <x:v>46097</x:v>
      </x:c>
      <x:c r="K248" s="22" t="s">
        <x:v>30</x:v>
      </x:c>
    </x:row>
    <x:row r="249">
      <x:c r="A249" s="34" t="s">
        <x:v>248</x:v>
      </x:c>
      <x:c r="B249" s="32">
        <x:v>46082</x:v>
      </x:c>
      <x:c r="C249" s="45" t="str">
        <x:f t="shared" si="3"/>
        <x:v>MARÇO</x:v>
      </x:c>
      <x:c r="D249" s="34" t="s">
        <x:v>201</x:v>
      </x:c>
      <x:c r="E249" s="34" t="s">
        <x:v>202</x:v>
      </x:c>
      <x:c r="F249" s="34" t="s">
        <x:v>48</x:v>
      </x:c>
      <x:c r="G249" s="49">
        <x:v>-4750.29</x:v>
      </x:c>
      <x:c r="H249" s="48" t="s">
        <x:v>82</x:v>
      </x:c>
      <x:c r="I249" s="33" t="s">
        <x:v>83</x:v>
      </x:c>
      <x:c r="J249" s="37">
        <x:v>46097</x:v>
      </x:c>
      <x:c r="K249" s="22" t="s">
        <x:v>30</x:v>
      </x:c>
    </x:row>
    <x:row r="250">
      <x:c r="A250" s="34" t="s">
        <x:v>249</x:v>
      </x:c>
      <x:c r="B250" s="32">
        <x:v>46082</x:v>
      </x:c>
      <x:c r="C250" s="45" t="str">
        <x:f t="shared" si="3"/>
        <x:v>MARÇO</x:v>
      </x:c>
      <x:c r="D250" s="34" t="s">
        <x:v>201</x:v>
      </x:c>
      <x:c r="E250" s="34" t="s">
        <x:v>202</x:v>
      </x:c>
      <x:c r="F250" s="34" t="s">
        <x:v>48</x:v>
      </x:c>
      <x:c r="G250" s="49">
        <x:v>-669.91</x:v>
      </x:c>
      <x:c r="H250" s="48" t="s">
        <x:v>82</x:v>
      </x:c>
      <x:c r="I250" s="33" t="s">
        <x:v>83</x:v>
      </x:c>
      <x:c r="J250" s="37">
        <x:v>46097</x:v>
      </x:c>
      <x:c r="K250" s="22" t="s">
        <x:v>30</x:v>
      </x:c>
    </x:row>
    <x:row r="251">
      <x:c r="A251" s="34" t="s">
        <x:v>250</x:v>
      </x:c>
      <x:c r="B251" s="32">
        <x:v>46082</x:v>
      </x:c>
      <x:c r="C251" s="45" t="str">
        <x:f t="shared" si="3"/>
        <x:v>MARÇO</x:v>
      </x:c>
      <x:c r="D251" s="34" t="s">
        <x:v>85</x:v>
      </x:c>
      <x:c r="E251" s="34" t="s">
        <x:v>186</x:v>
      </x:c>
      <x:c r="F251" s="34" t="s">
        <x:v>48</x:v>
      </x:c>
      <x:c r="G251" s="49">
        <x:v>-671.02</x:v>
      </x:c>
      <x:c r="H251" s="48" t="s">
        <x:v>82</x:v>
      </x:c>
      <x:c r="I251" s="33" t="s">
        <x:v>83</x:v>
      </x:c>
      <x:c r="J251" s="37">
        <x:v>46097</x:v>
      </x:c>
      <x:c r="K251" s="22" t="s">
        <x:v>30</x:v>
      </x:c>
    </x:row>
    <x:row r="252">
      <x:c r="A252" s="34" t="s">
        <x:v>251</x:v>
      </x:c>
      <x:c r="B252" s="32">
        <x:v>46082</x:v>
      </x:c>
      <x:c r="C252" s="45" t="str">
        <x:f t="shared" si="3"/>
        <x:v>MARÇO</x:v>
      </x:c>
      <x:c r="D252" s="34" t="s">
        <x:v>85</x:v>
      </x:c>
      <x:c r="E252" s="34" t="s">
        <x:v>186</x:v>
      </x:c>
      <x:c r="F252" s="34" t="s">
        <x:v>48</x:v>
      </x:c>
      <x:c r="G252" s="49">
        <x:v>-801.08</x:v>
      </x:c>
      <x:c r="H252" s="48" t="s">
        <x:v>82</x:v>
      </x:c>
      <x:c r="I252" s="33" t="s">
        <x:v>83</x:v>
      </x:c>
      <x:c r="J252" s="37">
        <x:v>46097</x:v>
      </x:c>
      <x:c r="K252" s="22" t="s">
        <x:v>30</x:v>
      </x:c>
    </x:row>
    <x:row r="253">
      <x:c r="A253" s="34" t="s">
        <x:v>252</x:v>
      </x:c>
      <x:c r="B253" s="32">
        <x:v>46082</x:v>
      </x:c>
      <x:c r="C253" s="45" t="str">
        <x:f t="shared" si="3"/>
        <x:v>MARÇO</x:v>
      </x:c>
      <x:c r="D253" s="34" t="s">
        <x:v>85</x:v>
      </x:c>
      <x:c r="E253" s="34" t="s">
        <x:v>252</x:v>
      </x:c>
      <x:c r="F253" s="34" t="s">
        <x:v>48</x:v>
      </x:c>
      <x:c r="G253" s="49">
        <x:v>-1752</x:v>
      </x:c>
      <x:c r="H253" s="48" t="s">
        <x:v>82</x:v>
      </x:c>
      <x:c r="I253" s="33" t="s">
        <x:v>83</x:v>
      </x:c>
      <x:c r="J253" s="37">
        <x:v>46094</x:v>
      </x:c>
      <x:c r="K253" s="22" t="s">
        <x:v>30</x:v>
      </x:c>
    </x:row>
    <x:row r="254">
      <x:c r="A254" s="34" t="s">
        <x:v>253</x:v>
      </x:c>
      <x:c r="B254" s="32">
        <x:v>46082</x:v>
      </x:c>
      <x:c r="C254" s="45" t="str">
        <x:f t="shared" si="3"/>
        <x:v>MARÇO</x:v>
      </x:c>
      <x:c r="D254" s="34" t="s">
        <x:v>85</x:v>
      </x:c>
      <x:c r="E254" s="34" t="s">
        <x:v>204</x:v>
      </x:c>
      <x:c r="F254" s="34" t="s">
        <x:v>48</x:v>
      </x:c>
      <x:c r="G254" s="49">
        <x:v>-57</x:v>
      </x:c>
      <x:c r="H254" s="48" t="s">
        <x:v>82</x:v>
      </x:c>
      <x:c r="I254" s="33" t="s">
        <x:v>83</x:v>
      </x:c>
      <x:c r="J254" s="37">
        <x:v>46093</x:v>
      </x:c>
      <x:c r="K254" s="22" t="s">
        <x:v>30</x:v>
      </x:c>
    </x:row>
    <x:row r="255">
      <x:c r="A255" s="34" t="s">
        <x:v>254</x:v>
      </x:c>
      <x:c r="B255" s="32">
        <x:v>46082</x:v>
      </x:c>
      <x:c r="C255" s="45" t="str">
        <x:f t="shared" si="3"/>
        <x:v>MARÇO</x:v>
      </x:c>
      <x:c r="D255" s="34" t="s">
        <x:v>85</x:v>
      </x:c>
      <x:c r="E255" s="34" t="s">
        <x:v>170</x:v>
      </x:c>
      <x:c r="F255" s="34" t="s">
        <x:v>48</x:v>
      </x:c>
      <x:c r="G255" s="49">
        <x:v>-220</x:v>
      </x:c>
      <x:c r="H255" s="48" t="s">
        <x:v>82</x:v>
      </x:c>
      <x:c r="I255" s="33" t="s">
        <x:v>83</x:v>
      </x:c>
      <x:c r="J255" s="37">
        <x:v>46093</x:v>
      </x:c>
      <x:c r="K255" s="22" t="s">
        <x:v>30</x:v>
      </x:c>
    </x:row>
    <x:row r="256">
      <x:c r="A256" s="34" t="s">
        <x:v>255</x:v>
      </x:c>
      <x:c r="B256" s="32">
        <x:v>46082</x:v>
      </x:c>
      <x:c r="C256" s="45" t="str">
        <x:f t="shared" si="3"/>
        <x:v>MARÇO</x:v>
      </x:c>
      <x:c r="D256" s="34" t="s">
        <x:v>89</x:v>
      </x:c>
      <x:c r="E256" s="34" t="s">
        <x:v>167</x:v>
      </x:c>
      <x:c r="F256" s="34" t="s">
        <x:v>48</x:v>
      </x:c>
      <x:c r="G256" s="49">
        <x:v>14850</x:v>
      </x:c>
      <x:c r="H256" s="48" t="s">
        <x:v>91</x:v>
      </x:c>
      <x:c r="I256" s="33" t="s">
        <x:v>83</x:v>
      </x:c>
      <x:c r="J256" s="37">
        <x:v>46093</x:v>
      </x:c>
      <x:c r="K256" s="22" t="s">
        <x:v>30</x:v>
      </x:c>
    </x:row>
    <x:row r="257">
      <x:c r="A257" s="34" t="s">
        <x:v>256</x:v>
      </x:c>
      <x:c r="B257" s="32">
        <x:v>46082</x:v>
      </x:c>
      <x:c r="C257" s="45" t="str">
        <x:f t="shared" si="3"/>
        <x:v>MARÇO</x:v>
      </x:c>
      <x:c r="D257" s="34" t="s">
        <x:v>227</x:v>
      </x:c>
      <x:c r="E257" s="34" t="s">
        <x:v>170</x:v>
      </x:c>
      <x:c r="F257" s="34" t="s">
        <x:v>48</x:v>
      </x:c>
      <x:c r="G257" s="49">
        <x:v>-3696</x:v>
      </x:c>
      <x:c r="H257" s="48" t="s">
        <x:v>82</x:v>
      </x:c>
      <x:c r="I257" s="33" t="s">
        <x:v>83</x:v>
      </x:c>
      <x:c r="J257" s="37">
        <x:v>46091</x:v>
      </x:c>
      <x:c r="K257" s="22" t="s">
        <x:v>30</x:v>
      </x:c>
    </x:row>
    <x:row r="258">
      <x:c r="A258" s="34" t="s">
        <x:v>257</x:v>
      </x:c>
      <x:c r="B258" s="36">
        <x:v>46054</x:v>
      </x:c>
      <x:c r="C258" s="45" t="str">
        <x:f t="shared" ref="C258:C321" si="4">UPPER(TEXT(B258,"MMMM"))</x:f>
        <x:v>FEBRUARY</x:v>
      </x:c>
      <x:c r="D258" s="34" t="s">
        <x:v>89</x:v>
      </x:c>
      <x:c r="E258" s="34" t="s">
        <x:v>183</x:v>
      </x:c>
      <x:c r="F258" s="34" t="s">
        <x:v>48</x:v>
      </x:c>
      <x:c r="G258" s="49">
        <x:v>-14850</x:v>
      </x:c>
      <x:c r="H258" s="48" t="s">
        <x:v>82</x:v>
      </x:c>
      <x:c r="I258" s="33" t="s">
        <x:v>83</x:v>
      </x:c>
      <x:c r="J258" s="37">
        <x:v>46091</x:v>
      </x:c>
      <x:c r="K258" s="22" t="s">
        <x:v>30</x:v>
      </x:c>
    </x:row>
    <x:row r="259">
      <x:c r="A259" s="34" t="s">
        <x:v>258</x:v>
      </x:c>
      <x:c r="B259" s="32">
        <x:v>46082</x:v>
      </x:c>
      <x:c r="C259" s="45" t="str">
        <x:f t="shared" si="4"/>
        <x:v>MARÇO</x:v>
      </x:c>
      <x:c r="D259" s="34" t="s">
        <x:v>162</x:v>
      </x:c>
      <x:c r="E259" s="34" t="s">
        <x:v>167</x:v>
      </x:c>
      <x:c r="F259" s="34" t="s">
        <x:v>48</x:v>
      </x:c>
      <x:c r="G259" s="49">
        <x:v>-2767.86</x:v>
      </x:c>
      <x:c r="H259" s="48" t="s">
        <x:v>82</x:v>
      </x:c>
      <x:c r="I259" s="33" t="s">
        <x:v>83</x:v>
      </x:c>
      <x:c r="J259" s="37">
        <x:v>46090</x:v>
      </x:c>
      <x:c r="K259" s="22" t="s">
        <x:v>30</x:v>
      </x:c>
    </x:row>
    <x:row r="260">
      <x:c r="A260" s="34" t="s">
        <x:v>203</x:v>
      </x:c>
      <x:c r="B260" s="32">
        <x:v>46082</x:v>
      </x:c>
      <x:c r="C260" s="45" t="str">
        <x:f t="shared" si="4"/>
        <x:v>MARÇO</x:v>
      </x:c>
      <x:c r="D260" s="34" t="s">
        <x:v>107</x:v>
      </x:c>
      <x:c r="E260" s="34" t="s">
        <x:v>107</x:v>
      </x:c>
      <x:c r="F260" s="34" t="s">
        <x:v>48</x:v>
      </x:c>
      <x:c r="G260" s="49">
        <x:v>-86.47</x:v>
      </x:c>
      <x:c r="H260" s="48" t="s">
        <x:v>82</x:v>
      </x:c>
      <x:c r="I260" s="33" t="s">
        <x:v>83</x:v>
      </x:c>
      <x:c r="J260" s="37">
        <x:v>46090</x:v>
      </x:c>
      <x:c r="K260" s="22" t="s">
        <x:v>30</x:v>
      </x:c>
    </x:row>
    <x:row r="261">
      <x:c r="A261" s="34" t="s">
        <x:v>259</x:v>
      </x:c>
      <x:c r="B261" s="32">
        <x:v>46082</x:v>
      </x:c>
      <x:c r="C261" s="45" t="str">
        <x:f t="shared" si="4"/>
        <x:v>MARÇO</x:v>
      </x:c>
      <x:c r="D261" s="34" t="s">
        <x:v>201</x:v>
      </x:c>
      <x:c r="E261" s="34" t="s">
        <x:v>167</x:v>
      </x:c>
      <x:c r="F261" s="34" t="s">
        <x:v>48</x:v>
      </x:c>
      <x:c r="G261" s="49">
        <x:v>-1850</x:v>
      </x:c>
      <x:c r="H261" s="48" t="s">
        <x:v>82</x:v>
      </x:c>
      <x:c r="I261" s="33" t="s">
        <x:v>83</x:v>
      </x:c>
      <x:c r="J261" s="37">
        <x:v>46088</x:v>
      </x:c>
      <x:c r="K261" s="22" t="s">
        <x:v>30</x:v>
      </x:c>
    </x:row>
    <x:row r="262">
      <x:c r="A262" s="34" t="s">
        <x:v>260</x:v>
      </x:c>
      <x:c r="B262" s="32">
        <x:v>46054</x:v>
      </x:c>
      <x:c r="C262" s="45" t="str">
        <x:f t="shared" si="4"/>
        <x:v>FEVEREIRO</x:v>
      </x:c>
      <x:c r="D262" s="34" t="s">
        <x:v>165</x:v>
      </x:c>
      <x:c r="E262" s="34" t="s">
        <x:v>183</x:v>
      </x:c>
      <x:c r="F262" s="34" t="s">
        <x:v>48</x:v>
      </x:c>
      <x:c r="G262" s="49">
        <x:v>-6000</x:v>
      </x:c>
      <x:c r="H262" s="48" t="s">
        <x:v>82</x:v>
      </x:c>
      <x:c r="I262" s="33" t="s">
        <x:v>83</x:v>
      </x:c>
      <x:c r="J262" s="37">
        <x:v>46088</x:v>
      </x:c>
      <x:c r="K262" s="22" t="s">
        <x:v>30</x:v>
      </x:c>
    </x:row>
    <x:row r="263">
      <x:c r="A263" s="34" t="s">
        <x:v>216</x:v>
      </x:c>
      <x:c r="B263" s="32">
        <x:v>46082</x:v>
      </x:c>
      <x:c r="C263" s="45" t="str">
        <x:f t="shared" si="4"/>
        <x:v>MARÇO</x:v>
      </x:c>
      <x:c r="D263" s="34" t="s">
        <x:v>216</x:v>
      </x:c>
      <x:c r="E263" s="34" t="s">
        <x:v>149</x:v>
      </x:c>
      <x:c r="F263" s="34" t="s">
        <x:v>48</x:v>
      </x:c>
      <x:c r="G263" s="49">
        <x:v>-87</x:v>
      </x:c>
      <x:c r="H263" s="48" t="s">
        <x:v>82</x:v>
      </x:c>
      <x:c r="I263" s="33" t="s">
        <x:v>83</x:v>
      </x:c>
      <x:c r="J263" s="37">
        <x:v>46087</x:v>
      </x:c>
      <x:c r="K263" s="22" t="s">
        <x:v>30</x:v>
      </x:c>
    </x:row>
    <x:row r="264">
      <x:c r="A264" s="34" t="s">
        <x:v>261</x:v>
      </x:c>
      <x:c r="B264" s="36">
        <x:v>46054</x:v>
      </x:c>
      <x:c r="C264" s="45" t="str">
        <x:f t="shared" si="4"/>
        <x:v>FEVEREIRO</x:v>
      </x:c>
      <x:c r="D264" s="34" t="s">
        <x:v>89</x:v>
      </x:c>
      <x:c r="E264" s="34" t="s">
        <x:v>167</x:v>
      </x:c>
      <x:c r="F264" s="34" t="s">
        <x:v>48</x:v>
      </x:c>
      <x:c r="G264" s="49">
        <x:v>18000</x:v>
      </x:c>
      <x:c r="H264" s="48" t="s">
        <x:v>91</x:v>
      </x:c>
      <x:c r="I264" s="33" t="s">
        <x:v>83</x:v>
      </x:c>
      <x:c r="J264" s="37">
        <x:v>46087</x:v>
      </x:c>
      <x:c r="K264" s="22" t="s">
        <x:v>30</x:v>
      </x:c>
    </x:row>
    <x:row r="265">
      <x:c r="A265" s="34" t="s">
        <x:v>216</x:v>
      </x:c>
      <x:c r="B265" s="32">
        <x:v>46082</x:v>
      </x:c>
      <x:c r="C265" s="45" t="str">
        <x:f t="shared" si="4"/>
        <x:v>MARÇO</x:v>
      </x:c>
      <x:c r="D265" s="34" t="s">
        <x:v>216</x:v>
      </x:c>
      <x:c r="E265" s="34" t="s">
        <x:v>149</x:v>
      </x:c>
      <x:c r="F265" s="34" t="s">
        <x:v>48</x:v>
      </x:c>
      <x:c r="G265" s="49">
        <x:v>-2.3199999999999998</x:v>
      </x:c>
      <x:c r="H265" s="48" t="s">
        <x:v>82</x:v>
      </x:c>
      <x:c r="I265" s="33" t="s">
        <x:v>83</x:v>
      </x:c>
      <x:c r="J265" s="37">
        <x:v>46084</x:v>
      </x:c>
      <x:c r="K265" s="22" t="s">
        <x:v>30</x:v>
      </x:c>
    </x:row>
    <x:row r="266">
      <x:c r="A266" s="34" t="s">
        <x:v>171</x:v>
      </x:c>
      <x:c r="B266" s="36">
        <x:v>46054</x:v>
      </x:c>
      <x:c r="C266" s="45" t="str">
        <x:f t="shared" si="4"/>
        <x:v>FEVEREIRO</x:v>
      </x:c>
      <x:c r="D266" s="34" t="s">
        <x:v>227</x:v>
      </x:c>
      <x:c r="E266" s="34" t="s">
        <x:v>171</x:v>
      </x:c>
      <x:c r="F266" s="34" t="s">
        <x:v>48</x:v>
      </x:c>
      <x:c r="G266" s="49">
        <x:v>-4962.1000000000004</x:v>
      </x:c>
      <x:c r="H266" s="48" t="s">
        <x:v>82</x:v>
      </x:c>
      <x:c r="I266" s="33" t="s">
        <x:v>83</x:v>
      </x:c>
      <x:c r="J266" s="37">
        <x:v>46083</x:v>
      </x:c>
      <x:c r="K266" s="22" t="s">
        <x:v>30</x:v>
      </x:c>
    </x:row>
    <x:row r="267">
      <x:c r="A267" s="34" t="s">
        <x:v>262</x:v>
      </x:c>
      <x:c r="B267" s="36">
        <x:v>46054</x:v>
      </x:c>
      <x:c r="C267" s="45" t="str">
        <x:f t="shared" si="4"/>
        <x:v>FEVEREIRO</x:v>
      </x:c>
      <x:c r="D267" s="34" t="s">
        <x:v>227</x:v>
      </x:c>
      <x:c r="E267" s="34" t="s">
        <x:v>186</x:v>
      </x:c>
      <x:c r="F267" s="34" t="s">
        <x:v>48</x:v>
      </x:c>
      <x:c r="G267" s="49">
        <x:v>-214.37</x:v>
      </x:c>
      <x:c r="H267" s="48" t="s">
        <x:v>82</x:v>
      </x:c>
      <x:c r="I267" s="33" t="s">
        <x:v>83</x:v>
      </x:c>
      <x:c r="J267" s="37">
        <x:v>46083</x:v>
      </x:c>
      <x:c r="K267" s="22" t="s">
        <x:v>30</x:v>
      </x:c>
    </x:row>
    <x:row r="268">
      <x:c r="A268" s="34" t="s">
        <x:v>263</x:v>
      </x:c>
      <x:c r="B268" s="36">
        <x:v>46054</x:v>
      </x:c>
      <x:c r="C268" s="45" t="str">
        <x:f t="shared" si="4"/>
        <x:v>FEVEREIRO</x:v>
      </x:c>
      <x:c r="D268" s="34" t="s">
        <x:v>112</x:v>
      </x:c>
      <x:c r="E268" s="34" t="s">
        <x:v>149</x:v>
      </x:c>
      <x:c r="F268" s="34" t="s">
        <x:v>48</x:v>
      </x:c>
      <x:c r="G268" s="49">
        <x:v>-39659.54</x:v>
      </x:c>
      <x:c r="H268" s="48" t="s">
        <x:v>82</x:v>
      </x:c>
      <x:c r="I268" s="33" t="s">
        <x:v>83</x:v>
      </x:c>
      <x:c r="J268" s="37">
        <x:v>46083</x:v>
      </x:c>
      <x:c r="K268" s="22" t="s">
        <x:v>30</x:v>
      </x:c>
    </x:row>
    <x:row r="269">
      <x:c r="A269" s="34" t="s">
        <x:v>264</x:v>
      </x:c>
      <x:c r="B269" s="36">
        <x:v>46054</x:v>
      </x:c>
      <x:c r="C269" s="45" t="str">
        <x:f t="shared" si="4"/>
        <x:v>FEVEREIRO</x:v>
      </x:c>
      <x:c r="D269" s="34" t="s">
        <x:v>162</x:v>
      </x:c>
      <x:c r="E269" s="34" t="s">
        <x:v>167</x:v>
      </x:c>
      <x:c r="F269" s="34" t="s">
        <x:v>48</x:v>
      </x:c>
      <x:c r="G269" s="49">
        <x:v>-1540</x:v>
      </x:c>
      <x:c r="H269" s="48" t="s">
        <x:v>82</x:v>
      </x:c>
      <x:c r="I269" s="33" t="s">
        <x:v>83</x:v>
      </x:c>
      <x:c r="J269" s="37">
        <x:v>46080</x:v>
      </x:c>
      <x:c r="K269" s="22" t="s">
        <x:v>30</x:v>
      </x:c>
    </x:row>
    <x:row r="270">
      <x:c r="A270" s="34" t="s">
        <x:v>265</x:v>
      </x:c>
      <x:c r="B270" s="36">
        <x:v>46054</x:v>
      </x:c>
      <x:c r="C270" s="45" t="str">
        <x:f t="shared" si="4"/>
        <x:v>FEVEREIRO</x:v>
      </x:c>
      <x:c r="D270" s="34" t="s">
        <x:v>89</x:v>
      </x:c>
      <x:c r="E270" s="34" t="s">
        <x:v>167</x:v>
      </x:c>
      <x:c r="F270" s="34" t="s">
        <x:v>48</x:v>
      </x:c>
      <x:c r="G270" s="49">
        <x:v>14850</x:v>
      </x:c>
      <x:c r="H270" s="48" t="s">
        <x:v>91</x:v>
      </x:c>
      <x:c r="I270" s="33" t="s">
        <x:v>83</x:v>
      </x:c>
      <x:c r="J270" s="37">
        <x:v>46080</x:v>
      </x:c>
      <x:c r="K270" s="22" t="s">
        <x:v>30</x:v>
      </x:c>
    </x:row>
    <x:row r="271">
      <x:c r="A271" s="34" t="s">
        <x:v>203</x:v>
      </x:c>
      <x:c r="B271" s="36">
        <x:v>46023</x:v>
      </x:c>
      <x:c r="C271" s="45" t="str">
        <x:f t="shared" si="4"/>
        <x:v>JANEIRO</x:v>
      </x:c>
      <x:c r="D271" s="34" t="s">
        <x:v>107</x:v>
      </x:c>
      <x:c r="E271" s="34" t="s">
        <x:v>107</x:v>
      </x:c>
      <x:c r="F271" s="34" t="s">
        <x:v>48</x:v>
      </x:c>
      <x:c r="G271" s="49">
        <x:v>-85.1</x:v>
      </x:c>
      <x:c r="H271" s="48" t="s">
        <x:v>82</x:v>
      </x:c>
      <x:c r="I271" s="33" t="s">
        <x:v>187</x:v>
      </x:c>
      <x:c r="J271" s="37">
        <x:v>46079</x:v>
      </x:c>
      <x:c r="K271" s="22" t="s">
        <x:v>30</x:v>
      </x:c>
    </x:row>
    <x:row r="272">
      <x:c r="A272" s="34" t="s">
        <x:v>266</x:v>
      </x:c>
      <x:c r="B272" s="36">
        <x:v>46054</x:v>
      </x:c>
      <x:c r="C272" s="45" t="str">
        <x:f t="shared" si="4"/>
        <x:v>FEVEREIRO</x:v>
      </x:c>
      <x:c r="D272" s="34" t="s">
        <x:v>233</x:v>
      </x:c>
      <x:c r="E272" s="34" t="s">
        <x:v>133</x:v>
      </x:c>
      <x:c r="F272" s="34" t="s">
        <x:v>48</x:v>
      </x:c>
      <x:c r="G272" s="49">
        <x:v>-2487.63</x:v>
      </x:c>
      <x:c r="H272" s="48" t="s">
        <x:v>82</x:v>
      </x:c>
      <x:c r="I272" s="33" t="s">
        <x:v>187</x:v>
      </x:c>
      <x:c r="J272" s="37">
        <x:v>46077</x:v>
      </x:c>
      <x:c r="K272" s="22" t="s">
        <x:v>30</x:v>
      </x:c>
    </x:row>
    <x:row r="273">
      <x:c r="A273" s="34" t="s">
        <x:v>267</x:v>
      </x:c>
      <x:c r="B273" s="36">
        <x:v>46054</x:v>
      </x:c>
      <x:c r="C273" s="45" t="str">
        <x:f t="shared" si="4"/>
        <x:v>FEVEREIRO</x:v>
      </x:c>
      <x:c r="D273" s="34" t="s">
        <x:v>268</x:v>
      </x:c>
      <x:c r="E273" s="34" t="s">
        <x:v>269</x:v>
      </x:c>
      <x:c r="F273" s="34" t="s">
        <x:v>48</x:v>
      </x:c>
      <x:c r="G273" s="49">
        <x:v>-200.46</x:v>
      </x:c>
      <x:c r="H273" s="48" t="s">
        <x:v>82</x:v>
      </x:c>
      <x:c r="I273" s="33" t="s">
        <x:v>83</x:v>
      </x:c>
      <x:c r="J273" s="37">
        <x:v>46076</x:v>
      </x:c>
      <x:c r="K273" s="22" t="s">
        <x:v>30</x:v>
      </x:c>
    </x:row>
    <x:row r="274">
      <x:c r="A274" s="34" t="s">
        <x:v>270</x:v>
      </x:c>
      <x:c r="B274" s="36">
        <x:v>46054</x:v>
      </x:c>
      <x:c r="C274" s="45" t="str">
        <x:f t="shared" si="4"/>
        <x:v>FEVEREIRO</x:v>
      </x:c>
      <x:c r="D274" s="34" t="s">
        <x:v>183</x:v>
      </x:c>
      <x:c r="E274" s="34" t="s">
        <x:v>183</x:v>
      </x:c>
      <x:c r="F274" s="34" t="s">
        <x:v>48</x:v>
      </x:c>
      <x:c r="G274" s="49">
        <x:v>-5000</x:v>
      </x:c>
      <x:c r="H274" s="48" t="s">
        <x:v>82</x:v>
      </x:c>
      <x:c r="I274" s="33" t="s">
        <x:v>187</x:v>
      </x:c>
      <x:c r="J274" s="37">
        <x:v>46076</x:v>
      </x:c>
      <x:c r="K274" s="22" t="s">
        <x:v>30</x:v>
      </x:c>
    </x:row>
    <x:row r="275">
      <x:c r="A275" s="34" t="s">
        <x:v>271</x:v>
      </x:c>
      <x:c r="B275" s="36">
        <x:v>46054</x:v>
      </x:c>
      <x:c r="C275" s="45" t="str">
        <x:f t="shared" si="4"/>
        <x:v>FEVEREIRO</x:v>
      </x:c>
      <x:c r="D275" s="34" t="s">
        <x:v>162</x:v>
      </x:c>
      <x:c r="E275" s="34" t="s">
        <x:v>167</x:v>
      </x:c>
      <x:c r="F275" s="34" t="s">
        <x:v>48</x:v>
      </x:c>
      <x:c r="G275" s="49">
        <x:v>-1127.22</x:v>
      </x:c>
      <x:c r="H275" s="48" t="s">
        <x:v>82</x:v>
      </x:c>
      <x:c r="I275" s="33" t="s">
        <x:v>83</x:v>
      </x:c>
      <x:c r="J275" s="37">
        <x:v>46073</x:v>
      </x:c>
      <x:c r="K275" s="22" t="s">
        <x:v>30</x:v>
      </x:c>
    </x:row>
    <x:row r="276">
      <x:c r="A276" s="34" t="s">
        <x:v>272</x:v>
      </x:c>
      <x:c r="B276" s="36">
        <x:v>46054</x:v>
      </x:c>
      <x:c r="C276" s="45" t="str">
        <x:f t="shared" si="4"/>
        <x:v>FEVEREIRO</x:v>
      </x:c>
      <x:c r="D276" s="34" t="s">
        <x:v>268</x:v>
      </x:c>
      <x:c r="E276" s="34" t="s">
        <x:v>273</x:v>
      </x:c>
      <x:c r="F276" s="34" t="s">
        <x:v>48</x:v>
      </x:c>
      <x:c r="G276" s="49">
        <x:v>-986.04</x:v>
      </x:c>
      <x:c r="H276" s="48" t="s">
        <x:v>82</x:v>
      </x:c>
      <x:c r="I276" s="33" t="s">
        <x:v>83</x:v>
      </x:c>
      <x:c r="J276" s="37">
        <x:v>46073</x:v>
      </x:c>
      <x:c r="K276" s="22" t="s">
        <x:v>30</x:v>
      </x:c>
    </x:row>
    <x:row r="277">
      <x:c r="A277" s="34" t="s">
        <x:v>274</x:v>
      </x:c>
      <x:c r="B277" s="36">
        <x:v>46054</x:v>
      </x:c>
      <x:c r="C277" s="45" t="str">
        <x:f t="shared" si="4"/>
        <x:v>FEVEREIRO</x:v>
      </x:c>
      <x:c r="D277" s="34" t="s">
        <x:v>236</x:v>
      </x:c>
      <x:c r="E277" s="34" t="s">
        <x:v>197</x:v>
      </x:c>
      <x:c r="F277" s="34" t="s">
        <x:v>48</x:v>
      </x:c>
      <x:c r="G277" s="49">
        <x:v>-89.9</x:v>
      </x:c>
      <x:c r="H277" s="48" t="s">
        <x:v>82</x:v>
      </x:c>
      <x:c r="I277" s="33" t="s">
        <x:v>187</x:v>
      </x:c>
      <x:c r="J277" s="37">
        <x:v>46073</x:v>
      </x:c>
      <x:c r="K277" s="22" t="s">
        <x:v>30</x:v>
      </x:c>
    </x:row>
    <x:row r="278">
      <x:c r="A278" s="34" t="s">
        <x:v>115</x:v>
      </x:c>
      <x:c r="B278" s="36">
        <x:v>46054</x:v>
      </x:c>
      <x:c r="C278" s="45" t="str">
        <x:f t="shared" si="4"/>
        <x:v>FEVEREIRO</x:v>
      </x:c>
      <x:c r="D278" s="34" t="s">
        <x:v>116</x:v>
      </x:c>
      <x:c r="E278" s="34" t="s">
        <x:v>117</x:v>
      </x:c>
      <x:c r="F278" s="34" t="s">
        <x:v>48</x:v>
      </x:c>
      <x:c r="G278" s="49">
        <x:v>-5777.88</x:v>
      </x:c>
      <x:c r="H278" s="48" t="s">
        <x:v>82</x:v>
      </x:c>
      <x:c r="I278" s="33" t="s">
        <x:v>187</x:v>
      </x:c>
      <x:c r="J278" s="37">
        <x:v>46073</x:v>
      </x:c>
      <x:c r="K278" s="22" t="s">
        <x:v>30</x:v>
      </x:c>
    </x:row>
    <x:row r="279">
      <x:c r="A279" s="34" t="s">
        <x:v>110</x:v>
      </x:c>
      <x:c r="B279" s="36">
        <x:v>46054</x:v>
      </x:c>
      <x:c r="C279" s="45" t="str">
        <x:f t="shared" si="4"/>
        <x:v>FEVEREIRO</x:v>
      </x:c>
      <x:c r="D279" s="34" t="s">
        <x:v>110</x:v>
      </x:c>
      <x:c r="E279" s="34" t="s">
        <x:v>246</x:v>
      </x:c>
      <x:c r="F279" s="34" t="s">
        <x:v>48</x:v>
      </x:c>
      <x:c r="G279" s="49">
        <x:v>-2117.44</x:v>
      </x:c>
      <x:c r="H279" s="48" t="s">
        <x:v>82</x:v>
      </x:c>
      <x:c r="I279" s="33" t="s">
        <x:v>187</x:v>
      </x:c>
      <x:c r="J279" s="37">
        <x:v>46071</x:v>
      </x:c>
      <x:c r="K279" s="22" t="s">
        <x:v>30</x:v>
      </x:c>
    </x:row>
    <x:row r="280">
      <x:c r="A280" s="34" t="s">
        <x:v>171</x:v>
      </x:c>
      <x:c r="B280" s="36">
        <x:v>46054</x:v>
      </x:c>
      <x:c r="C280" s="45" t="str">
        <x:f t="shared" si="4"/>
        <x:v>FEVEREIRO</x:v>
      </x:c>
      <x:c r="D280" s="34" t="s">
        <x:v>227</x:v>
      </x:c>
      <x:c r="E280" s="34" t="s">
        <x:v>171</x:v>
      </x:c>
      <x:c r="F280" s="34" t="s">
        <x:v>48</x:v>
      </x:c>
      <x:c r="G280" s="49">
        <x:v>-10691.69</x:v>
      </x:c>
      <x:c r="H280" s="48" t="s">
        <x:v>82</x:v>
      </x:c>
      <x:c r="I280" s="33" t="s">
        <x:v>187</x:v>
      </x:c>
      <x:c r="J280" s="37">
        <x:v>46071</x:v>
      </x:c>
      <x:c r="K280" s="22" t="s">
        <x:v>30</x:v>
      </x:c>
    </x:row>
    <x:row r="281">
      <x:c r="A281" s="34" t="s">
        <x:v>275</x:v>
      </x:c>
      <x:c r="B281" s="36">
        <x:v>46054</x:v>
      </x:c>
      <x:c r="C281" s="45" t="str">
        <x:f t="shared" si="4"/>
        <x:v>FEVEREIRO</x:v>
      </x:c>
      <x:c r="D281" s="34" t="s">
        <x:v>227</x:v>
      </x:c>
      <x:c r="E281" s="34" t="s">
        <x:v>275</x:v>
      </x:c>
      <x:c r="F281" s="34" t="s">
        <x:v>48</x:v>
      </x:c>
      <x:c r="G281" s="49">
        <x:v>-795</x:v>
      </x:c>
      <x:c r="H281" s="48" t="s">
        <x:v>82</x:v>
      </x:c>
      <x:c r="I281" s="33" t="s">
        <x:v>187</x:v>
      </x:c>
      <x:c r="J281" s="37">
        <x:v>46071</x:v>
      </x:c>
      <x:c r="K281" s="22" t="s">
        <x:v>30</x:v>
      </x:c>
    </x:row>
    <x:row r="282">
      <x:c r="A282" s="34" t="s">
        <x:v>170</x:v>
      </x:c>
      <x:c r="B282" s="36">
        <x:v>46054</x:v>
      </x:c>
      <x:c r="C282" s="45" t="str">
        <x:f t="shared" si="4"/>
        <x:v>FEVEREIRO</x:v>
      </x:c>
      <x:c r="D282" s="34" t="s">
        <x:v>227</x:v>
      </x:c>
      <x:c r="E282" s="34" t="s">
        <x:v>170</x:v>
      </x:c>
      <x:c r="F282" s="34" t="s">
        <x:v>48</x:v>
      </x:c>
      <x:c r="G282" s="49">
        <x:v>-644.32000000000005</x:v>
      </x:c>
      <x:c r="H282" s="48" t="s">
        <x:v>82</x:v>
      </x:c>
      <x:c r="I282" s="33" t="s">
        <x:v>187</x:v>
      </x:c>
      <x:c r="J282" s="37">
        <x:v>46071</x:v>
      </x:c>
      <x:c r="K282" s="22" t="s">
        <x:v>30</x:v>
      </x:c>
    </x:row>
    <x:row r="283">
      <x:c r="A283" s="34" t="s">
        <x:v>203</x:v>
      </x:c>
      <x:c r="B283" s="36">
        <x:v>46054</x:v>
      </x:c>
      <x:c r="C283" s="45" t="str">
        <x:f t="shared" si="4"/>
        <x:v>FEVEREIRO</x:v>
      </x:c>
      <x:c r="D283" s="34" t="s">
        <x:v>107</x:v>
      </x:c>
      <x:c r="E283" s="34" t="s">
        <x:v>107</x:v>
      </x:c>
      <x:c r="F283" s="34" t="s">
        <x:v>48</x:v>
      </x:c>
      <x:c r="G283" s="49">
        <x:v>-82.73</x:v>
      </x:c>
      <x:c r="H283" s="48" t="s">
        <x:v>82</x:v>
      </x:c>
      <x:c r="I283" s="33" t="s">
        <x:v>187</x:v>
      </x:c>
      <x:c r="J283" s="37">
        <x:v>46071</x:v>
      </x:c>
      <x:c r="K283" s="22" t="s">
        <x:v>30</x:v>
      </x:c>
    </x:row>
    <x:row r="284">
      <x:c r="A284" s="34" t="s">
        <x:v>276</x:v>
      </x:c>
      <x:c r="B284" s="36">
        <x:v>46054</x:v>
      </x:c>
      <x:c r="C284" s="45" t="str">
        <x:f t="shared" si="4"/>
        <x:v>FEVEREIRO</x:v>
      </x:c>
      <x:c r="D284" s="34" t="s">
        <x:v>201</x:v>
      </x:c>
      <x:c r="E284" s="34" t="s">
        <x:v>202</x:v>
      </x:c>
      <x:c r="F284" s="34" t="s">
        <x:v>48</x:v>
      </x:c>
      <x:c r="G284" s="49">
        <x:v>-669.91</x:v>
      </x:c>
      <x:c r="H284" s="48" t="s">
        <x:v>82</x:v>
      </x:c>
      <x:c r="I284" s="33" t="s">
        <x:v>187</x:v>
      </x:c>
      <x:c r="J284" s="37">
        <x:v>46071</x:v>
      </x:c>
      <x:c r="K284" s="22" t="s">
        <x:v>30</x:v>
      </x:c>
    </x:row>
    <x:row r="285">
      <x:c r="A285" s="34" t="s">
        <x:v>186</x:v>
      </x:c>
      <x:c r="B285" s="36">
        <x:v>46054</x:v>
      </x:c>
      <x:c r="C285" s="45" t="str">
        <x:f t="shared" si="4"/>
        <x:v>FEVEREIRO</x:v>
      </x:c>
      <x:c r="D285" s="34" t="s">
        <x:v>227</x:v>
      </x:c>
      <x:c r="E285" s="34" t="s">
        <x:v>186</x:v>
      </x:c>
      <x:c r="F285" s="34" t="s">
        <x:v>48</x:v>
      </x:c>
      <x:c r="G285" s="49">
        <x:v>-801.09</x:v>
      </x:c>
      <x:c r="H285" s="48" t="s">
        <x:v>82</x:v>
      </x:c>
      <x:c r="I285" s="33" t="s">
        <x:v>187</x:v>
      </x:c>
      <x:c r="J285" s="37">
        <x:v>46071</x:v>
      </x:c>
      <x:c r="K285" s="22" t="s">
        <x:v>30</x:v>
      </x:c>
    </x:row>
    <x:row r="286">
      <x:c r="A286" s="34" t="s">
        <x:v>186</x:v>
      </x:c>
      <x:c r="B286" s="36">
        <x:v>46054</x:v>
      </x:c>
      <x:c r="C286" s="45" t="str">
        <x:f t="shared" si="4"/>
        <x:v>FEVEREIRO</x:v>
      </x:c>
      <x:c r="D286" s="34" t="s">
        <x:v>227</x:v>
      </x:c>
      <x:c r="E286" s="34" t="s">
        <x:v>186</x:v>
      </x:c>
      <x:c r="F286" s="34" t="s">
        <x:v>48</x:v>
      </x:c>
      <x:c r="G286" s="49">
        <x:v>-671.01</x:v>
      </x:c>
      <x:c r="H286" s="48" t="s">
        <x:v>82</x:v>
      </x:c>
      <x:c r="I286" s="33" t="s">
        <x:v>187</x:v>
      </x:c>
      <x:c r="J286" s="37">
        <x:v>46071</x:v>
      </x:c>
      <x:c r="K286" s="22" t="s">
        <x:v>30</x:v>
      </x:c>
    </x:row>
    <x:row r="287">
      <x:c r="A287" s="34" t="s">
        <x:v>277</x:v>
      </x:c>
      <x:c r="B287" s="36">
        <x:v>46054</x:v>
      </x:c>
      <x:c r="C287" s="45" t="str">
        <x:f t="shared" si="4"/>
        <x:v>FEVEREIRO</x:v>
      </x:c>
      <x:c r="D287" s="34" t="s">
        <x:v>201</x:v>
      </x:c>
      <x:c r="E287" s="34" t="s">
        <x:v>201</x:v>
      </x:c>
      <x:c r="F287" s="34" t="s">
        <x:v>48</x:v>
      </x:c>
      <x:c r="G287" s="49">
        <x:v>-4750.29</x:v>
      </x:c>
      <x:c r="H287" s="48" t="s">
        <x:v>82</x:v>
      </x:c>
      <x:c r="I287" s="33" t="s">
        <x:v>187</x:v>
      </x:c>
      <x:c r="J287" s="37">
        <x:v>46071</x:v>
      </x:c>
      <x:c r="K287" s="22" t="s">
        <x:v>30</x:v>
      </x:c>
    </x:row>
    <x:row r="288">
      <x:c r="A288" s="34" t="s">
        <x:v>278</x:v>
      </x:c>
      <x:c r="B288" s="36">
        <x:v>46054</x:v>
      </x:c>
      <x:c r="C288" s="45" t="str">
        <x:f t="shared" si="4"/>
        <x:v>FEVEREIRO</x:v>
      </x:c>
      <x:c r="D288" s="34" t="s">
        <x:v>89</x:v>
      </x:c>
      <x:c r="E288" s="34" t="s">
        <x:v>163</x:v>
      </x:c>
      <x:c r="F288" s="34" t="s">
        <x:v>48</x:v>
      </x:c>
      <x:c r="G288" s="49" t="n">
        <x:f>8942</x:f>
        <x:v>8942</x:v>
      </x:c>
      <x:c r="H288" s="48" t="s">
        <x:v>91</x:v>
      </x:c>
      <x:c r="I288" s="33" t="s">
        <x:v>83</x:v>
      </x:c>
      <x:c r="J288" s="37">
        <x:v>46066</x:v>
      </x:c>
      <x:c r="K288" s="22" t="s">
        <x:v>30</x:v>
      </x:c>
    </x:row>
    <x:row r="289">
      <x:c r="A289" s="34" t="s">
        <x:v>279</x:v>
      </x:c>
      <x:c r="B289" s="36">
        <x:v>46023</x:v>
      </x:c>
      <x:c r="C289" s="45" t="str">
        <x:f t="shared" si="4"/>
        <x:v>JANEIRO</x:v>
      </x:c>
      <x:c r="D289" s="34" t="s">
        <x:v>89</x:v>
      </x:c>
      <x:c r="E289" s="34" t="s">
        <x:v>183</x:v>
      </x:c>
      <x:c r="F289" s="34" t="s">
        <x:v>48</x:v>
      </x:c>
      <x:c r="G289" s="49">
        <x:v>-13500</x:v>
      </x:c>
      <x:c r="H289" s="48" t="s">
        <x:v>82</x:v>
      </x:c>
      <x:c r="I289" s="33" t="s">
        <x:v>83</x:v>
      </x:c>
      <x:c r="J289" s="37">
        <x:v>46066</x:v>
      </x:c>
      <x:c r="K289" s="22" t="s">
        <x:v>30</x:v>
      </x:c>
    </x:row>
    <x:row r="290">
      <x:c r="A290" s="34" t="s">
        <x:v>280</x:v>
      </x:c>
      <x:c r="B290" s="36">
        <x:v>46054</x:v>
      </x:c>
      <x:c r="C290" s="45" t="str">
        <x:f t="shared" si="4"/>
        <x:v>FEVEREIRO</x:v>
      </x:c>
      <x:c r="D290" s="34" t="s">
        <x:v>89</x:v>
      </x:c>
      <x:c r="E290" s="34" t="s">
        <x:v>178</x:v>
      </x:c>
      <x:c r="F290" s="34" t="s">
        <x:v>48</x:v>
      </x:c>
      <x:c r="G290" s="49">
        <x:v>13500</x:v>
      </x:c>
      <x:c r="H290" s="48" t="s">
        <x:v>91</x:v>
      </x:c>
      <x:c r="I290" s="33" t="s">
        <x:v>187</x:v>
      </x:c>
      <x:c r="J290" s="37">
        <x:v>46065</x:v>
      </x:c>
      <x:c r="K290" s="22" t="s">
        <x:v>30</x:v>
      </x:c>
    </x:row>
    <x:row r="291">
      <x:c r="A291" s="34" t="s">
        <x:v>204</x:v>
      </x:c>
      <x:c r="B291" s="36">
        <x:v>46054</x:v>
      </x:c>
      <x:c r="C291" s="45" t="str">
        <x:f t="shared" si="4"/>
        <x:v>FEVEREIRO</x:v>
      </x:c>
      <x:c r="D291" s="34" t="s">
        <x:v>227</x:v>
      </x:c>
      <x:c r="E291" s="34" t="s">
        <x:v>204</x:v>
      </x:c>
      <x:c r="F291" s="34" t="s">
        <x:v>48</x:v>
      </x:c>
      <x:c r="G291" s="49">
        <x:v>-57</x:v>
      </x:c>
      <x:c r="H291" s="48" t="s">
        <x:v>82</x:v>
      </x:c>
      <x:c r="I291" s="33" t="s">
        <x:v>187</x:v>
      </x:c>
      <x:c r="J291" s="37">
        <x:v>46065</x:v>
      </x:c>
      <x:c r="K291" s="22" t="s">
        <x:v>30</x:v>
      </x:c>
    </x:row>
    <x:row r="292">
      <x:c r="A292" s="34" t="s">
        <x:v>192</x:v>
      </x:c>
      <x:c r="B292" s="36">
        <x:v>46054</x:v>
      </x:c>
      <x:c r="C292" s="45" t="str">
        <x:f t="shared" si="4"/>
        <x:v>FEVEREIRO</x:v>
      </x:c>
      <x:c r="D292" s="34" t="s">
        <x:v>236</x:v>
      </x:c>
      <x:c r="E292" s="34" t="s">
        <x:v>192</x:v>
      </x:c>
      <x:c r="F292" s="34" t="s">
        <x:v>48</x:v>
      </x:c>
      <x:c r="G292" s="49">
        <x:v>-603.86</x:v>
      </x:c>
      <x:c r="H292" s="48" t="s">
        <x:v>82</x:v>
      </x:c>
      <x:c r="I292" s="33" t="s">
        <x:v>187</x:v>
      </x:c>
      <x:c r="J292" s="37">
        <x:v>46065</x:v>
      </x:c>
      <x:c r="K292" s="22" t="s">
        <x:v>30</x:v>
      </x:c>
    </x:row>
    <x:row r="293">
      <x:c r="A293" s="34" t="s">
        <x:v>281</x:v>
      </x:c>
      <x:c r="B293" s="36">
        <x:v>46054</x:v>
      </x:c>
      <x:c r="C293" s="45" t="str">
        <x:f t="shared" si="4"/>
        <x:v>FEVEREIRO</x:v>
      </x:c>
      <x:c r="D293" s="34" t="s">
        <x:v>162</x:v>
      </x:c>
      <x:c r="E293" s="34" t="s">
        <x:v>163</x:v>
      </x:c>
      <x:c r="F293" s="34" t="s">
        <x:v>48</x:v>
      </x:c>
      <x:c r="G293" s="49">
        <x:v>-1702.95</x:v>
      </x:c>
      <x:c r="H293" s="48" t="s">
        <x:v>82</x:v>
      </x:c>
      <x:c r="I293" s="33" t="s">
        <x:v>83</x:v>
      </x:c>
      <x:c r="J293" s="37">
        <x:v>46065</x:v>
      </x:c>
      <x:c r="K293" s="22" t="s">
        <x:v>30</x:v>
      </x:c>
    </x:row>
    <x:row r="294">
      <x:c r="A294" s="34" t="s">
        <x:v>282</x:v>
      </x:c>
      <x:c r="B294" s="36">
        <x:v>46054</x:v>
      </x:c>
      <x:c r="C294" s="45" t="str">
        <x:f t="shared" si="4"/>
        <x:v>FEVEREIRO</x:v>
      </x:c>
      <x:c r="D294" s="34" t="s">
        <x:v>165</x:v>
      </x:c>
      <x:c r="E294" s="34" t="s">
        <x:v>283</x:v>
      </x:c>
      <x:c r="F294" s="34" t="s">
        <x:v>48</x:v>
      </x:c>
      <x:c r="G294" s="49">
        <x:v>-2100</x:v>
      </x:c>
      <x:c r="H294" s="48" t="s">
        <x:v>82</x:v>
      </x:c>
      <x:c r="I294" s="33" t="s">
        <x:v>187</x:v>
      </x:c>
      <x:c r="J294" s="37">
        <x:v>46062</x:v>
      </x:c>
      <x:c r="K294" s="22" t="s">
        <x:v>30</x:v>
      </x:c>
    </x:row>
    <x:row r="295">
      <x:c r="A295" s="34" t="s">
        <x:v>170</x:v>
      </x:c>
      <x:c r="B295" s="36">
        <x:v>46054</x:v>
      </x:c>
      <x:c r="C295" s="45" t="str">
        <x:f t="shared" si="4"/>
        <x:v>FEVEREIRO</x:v>
      </x:c>
      <x:c r="D295" s="34" t="s">
        <x:v>227</x:v>
      </x:c>
      <x:c r="E295" s="34" t="s">
        <x:v>170</x:v>
      </x:c>
      <x:c r="F295" s="34" t="s">
        <x:v>48</x:v>
      </x:c>
      <x:c r="G295" s="49">
        <x:v>-3696</x:v>
      </x:c>
      <x:c r="H295" s="48" t="s">
        <x:v>82</x:v>
      </x:c>
      <x:c r="I295" s="33" t="s">
        <x:v>187</x:v>
      </x:c>
      <x:c r="J295" s="37">
        <x:v>46062</x:v>
      </x:c>
      <x:c r="K295" s="22" t="s">
        <x:v>30</x:v>
      </x:c>
    </x:row>
    <x:row r="296">
      <x:c r="A296" s="34" t="s">
        <x:v>284</x:v>
      </x:c>
      <x:c r="B296" s="36">
        <x:v>46054</x:v>
      </x:c>
      <x:c r="C296" s="45" t="str">
        <x:f t="shared" si="4"/>
        <x:v>FEVEREIRO</x:v>
      </x:c>
      <x:c r="D296" s="34" t="s">
        <x:v>201</x:v>
      </x:c>
      <x:c r="E296" s="34" t="s">
        <x:v>202</x:v>
      </x:c>
      <x:c r="F296" s="34" t="s">
        <x:v>48</x:v>
      </x:c>
      <x:c r="G296" s="49">
        <x:v>-3349.55</x:v>
      </x:c>
      <x:c r="H296" s="48" t="s">
        <x:v>82</x:v>
      </x:c>
      <x:c r="I296" s="33" t="s">
        <x:v>187</x:v>
      </x:c>
      <x:c r="J296" s="37">
        <x:v>46062</x:v>
      </x:c>
      <x:c r="K296" s="22" t="s">
        <x:v>30</x:v>
      </x:c>
    </x:row>
    <x:row r="297">
      <x:c r="A297" s="34" t="s">
        <x:v>285</x:v>
      </x:c>
      <x:c r="B297" s="36">
        <x:v>46023</x:v>
      </x:c>
      <x:c r="C297" s="45" t="str">
        <x:f t="shared" si="4"/>
        <x:v>JANEIRO</x:v>
      </x:c>
      <x:c r="D297" s="34" t="s">
        <x:v>89</x:v>
      </x:c>
      <x:c r="E297" s="34" t="s">
        <x:v>163</x:v>
      </x:c>
      <x:c r="F297" s="34" t="s">
        <x:v>48</x:v>
      </x:c>
      <x:c r="G297" s="49">
        <x:v>2000</x:v>
      </x:c>
      <x:c r="H297" s="48" t="s">
        <x:v>91</x:v>
      </x:c>
      <x:c r="I297" s="33" t="s">
        <x:v>83</x:v>
      </x:c>
      <x:c r="J297" s="37">
        <x:v>46058</x:v>
      </x:c>
      <x:c r="K297" s="22" t="s">
        <x:v>30</x:v>
      </x:c>
    </x:row>
    <x:row r="298">
      <x:c r="A298" s="34" t="s">
        <x:v>216</x:v>
      </x:c>
      <x:c r="B298" s="36">
        <x:v>46054</x:v>
      </x:c>
      <x:c r="C298" s="45" t="str">
        <x:f t="shared" si="4"/>
        <x:v>FEVEREIRO</x:v>
      </x:c>
      <x:c r="D298" s="34" t="s">
        <x:v>216</x:v>
      </x:c>
      <x:c r="E298" s="34" t="s">
        <x:v>149</x:v>
      </x:c>
      <x:c r="F298" s="34" t="s">
        <x:v>48</x:v>
      </x:c>
      <x:c r="G298" s="49">
        <x:v>-87</x:v>
      </x:c>
      <x:c r="H298" s="48" t="s">
        <x:v>82</x:v>
      </x:c>
      <x:c r="I298" s="33" t="s">
        <x:v>187</x:v>
      </x:c>
      <x:c r="J298" s="37">
        <x:v>46056</x:v>
      </x:c>
      <x:c r="K298" s="22" t="s">
        <x:v>30</x:v>
      </x:c>
    </x:row>
    <x:row r="299">
      <x:c r="A299" s="34" t="s">
        <x:v>216</x:v>
      </x:c>
      <x:c r="B299" s="36">
        <x:v>46054</x:v>
      </x:c>
      <x:c r="C299" s="45" t="str">
        <x:f t="shared" si="4"/>
        <x:v>FEVEREIRO</x:v>
      </x:c>
      <x:c r="D299" s="34" t="s">
        <x:v>216</x:v>
      </x:c>
      <x:c r="E299" s="34" t="s">
        <x:v>149</x:v>
      </x:c>
      <x:c r="F299" s="34" t="s">
        <x:v>48</x:v>
      </x:c>
      <x:c r="G299" s="49">
        <x:v>-6.05</x:v>
      </x:c>
      <x:c r="H299" s="48" t="s">
        <x:v>82</x:v>
      </x:c>
      <x:c r="I299" s="33" t="s">
        <x:v>187</x:v>
      </x:c>
      <x:c r="J299" s="37">
        <x:v>46056</x:v>
      </x:c>
      <x:c r="K299" s="22" t="s">
        <x:v>30</x:v>
      </x:c>
    </x:row>
    <x:row r="300">
      <x:c r="A300" s="34" t="s">
        <x:v>170</x:v>
      </x:c>
      <x:c r="B300" s="36">
        <x:v>46054</x:v>
      </x:c>
      <x:c r="C300" s="45" t="str">
        <x:f t="shared" si="4"/>
        <x:v>FEVEREIRO</x:v>
      </x:c>
      <x:c r="D300" s="34" t="s">
        <x:v>227</x:v>
      </x:c>
      <x:c r="E300" s="34" t="s">
        <x:v>170</x:v>
      </x:c>
      <x:c r="F300" s="34" t="s">
        <x:v>48</x:v>
      </x:c>
      <x:c r="G300" s="49">
        <x:v>-372.04</x:v>
      </x:c>
      <x:c r="H300" s="48" t="s">
        <x:v>82</x:v>
      </x:c>
      <x:c r="I300" s="33" t="s">
        <x:v>187</x:v>
      </x:c>
      <x:c r="J300" s="37">
        <x:v>46056</x:v>
      </x:c>
      <x:c r="K300" s="22" t="s">
        <x:v>30</x:v>
      </x:c>
    </x:row>
    <x:row r="301">
      <x:c r="A301" s="34" t="s">
        <x:v>286</x:v>
      </x:c>
      <x:c r="B301" s="36">
        <x:v>46054</x:v>
      </x:c>
      <x:c r="C301" s="45" t="str">
        <x:f t="shared" si="4"/>
        <x:v>FEVEREIRO</x:v>
      </x:c>
      <x:c r="D301" s="34" t="s">
        <x:v>162</x:v>
      </x:c>
      <x:c r="E301" s="34" t="s">
        <x:v>163</x:v>
      </x:c>
      <x:c r="F301" s="34" t="s">
        <x:v>48</x:v>
      </x:c>
      <x:c r="G301" s="49">
        <x:v>-500</x:v>
      </x:c>
      <x:c r="H301" s="48" t="s">
        <x:v>82</x:v>
      </x:c>
      <x:c r="I301" s="33" t="s">
        <x:v>83</x:v>
      </x:c>
      <x:c r="J301" s="37">
        <x:v>46055</x:v>
      </x:c>
      <x:c r="K301" s="22" t="s">
        <x:v>30</x:v>
      </x:c>
    </x:row>
    <x:row r="302">
      <x:c r="A302" s="34" t="s">
        <x:v>287</x:v>
      </x:c>
      <x:c r="B302" s="36">
        <x:v>46054</x:v>
      </x:c>
      <x:c r="C302" s="45" t="str">
        <x:f t="shared" si="4"/>
        <x:v>FEVEREIRO</x:v>
      </x:c>
      <x:c r="D302" s="34" t="s">
        <x:v>288</x:v>
      </x:c>
      <x:c r="E302" s="34" t="s">
        <x:v>289</x:v>
      </x:c>
      <x:c r="F302" s="34" t="s">
        <x:v>48</x:v>
      </x:c>
      <x:c r="G302" s="49">
        <x:v>-789.35</x:v>
      </x:c>
      <x:c r="H302" s="48" t="s">
        <x:v>82</x:v>
      </x:c>
      <x:c r="I302" s="33" t="s">
        <x:v>83</x:v>
      </x:c>
      <x:c r="J302" s="37">
        <x:v>46055</x:v>
      </x:c>
      <x:c r="K302" s="22" t="s">
        <x:v>30</x:v>
      </x:c>
    </x:row>
    <x:row r="303">
      <x:c r="A303" s="34" t="s">
        <x:v>171</x:v>
      </x:c>
      <x:c r="B303" s="36">
        <x:v>46023</x:v>
      </x:c>
      <x:c r="C303" s="45" t="str">
        <x:f t="shared" si="4"/>
        <x:v>JANEIRO</x:v>
      </x:c>
      <x:c r="D303" s="34" t="s">
        <x:v>227</x:v>
      </x:c>
      <x:c r="E303" s="34" t="s">
        <x:v>171</x:v>
      </x:c>
      <x:c r="F303" s="34" t="s">
        <x:v>48</x:v>
      </x:c>
      <x:c r="G303" s="49">
        <x:v>-24538.93</x:v>
      </x:c>
      <x:c r="H303" s="48" t="s">
        <x:v>82</x:v>
      </x:c>
      <x:c r="I303" s="33" t="s">
        <x:v>83</x:v>
      </x:c>
      <x:c r="J303" s="37">
        <x:v>46052</x:v>
      </x:c>
      <x:c r="K303" s="22" t="s">
        <x:v>30</x:v>
      </x:c>
    </x:row>
    <x:row r="304">
      <x:c r="A304" s="34" t="s">
        <x:v>290</x:v>
      </x:c>
      <x:c r="B304" s="36">
        <x:v>46023</x:v>
      </x:c>
      <x:c r="C304" s="45" t="str">
        <x:f t="shared" si="4"/>
        <x:v>JANEIRO</x:v>
      </x:c>
      <x:c r="D304" s="34" t="s">
        <x:v>89</x:v>
      </x:c>
      <x:c r="E304" s="34" t="s">
        <x:v>163</x:v>
      </x:c>
      <x:c r="F304" s="34" t="s">
        <x:v>48</x:v>
      </x:c>
      <x:c r="G304" s="49" t="n">
        <x:f>22500*0.6</x:f>
        <x:v>13500</x:v>
      </x:c>
      <x:c r="H304" s="48" t="s">
        <x:v>91</x:v>
      </x:c>
      <x:c r="I304" s="33" t="s">
        <x:v>83</x:v>
      </x:c>
      <x:c r="J304" s="37">
        <x:v>46052</x:v>
      </x:c>
      <x:c r="K304" s="22" t="s">
        <x:v>30</x:v>
      </x:c>
    </x:row>
    <x:row r="305">
      <x:c r="A305" s="34" t="s">
        <x:v>263</x:v>
      </x:c>
      <x:c r="B305" s="36">
        <x:v>46023</x:v>
      </x:c>
      <x:c r="C305" s="45" t="str">
        <x:f t="shared" si="4"/>
        <x:v>JANEIRO</x:v>
      </x:c>
      <x:c r="D305" s="34" t="s">
        <x:v>112</x:v>
      </x:c>
      <x:c r="E305" s="34" t="s">
        <x:v>149</x:v>
      </x:c>
      <x:c r="F305" s="34" t="s">
        <x:v>48</x:v>
      </x:c>
      <x:c r="G305" s="49">
        <x:v>-39659.54</x:v>
      </x:c>
      <x:c r="H305" s="48" t="s">
        <x:v>82</x:v>
      </x:c>
      <x:c r="I305" s="33" t="s">
        <x:v>83</x:v>
      </x:c>
      <x:c r="J305" s="37">
        <x:v>46050</x:v>
      </x:c>
      <x:c r="K305" s="22" t="s">
        <x:v>30</x:v>
      </x:c>
    </x:row>
    <x:row r="306">
      <x:c r="A306" s="34" t="s">
        <x:v>291</x:v>
      </x:c>
      <x:c r="B306" s="36">
        <x:v>46023</x:v>
      </x:c>
      <x:c r="C306" s="45" t="str">
        <x:f t="shared" si="4"/>
        <x:v>JANEIRO</x:v>
      </x:c>
      <x:c r="D306" s="34" t="s">
        <x:v>85</x:v>
      </x:c>
      <x:c r="E306" s="34" t="s">
        <x:v>170</x:v>
      </x:c>
      <x:c r="F306" s="34" t="s">
        <x:v>48</x:v>
      </x:c>
      <x:c r="G306" s="49">
        <x:v>-55</x:v>
      </x:c>
      <x:c r="H306" s="48" t="s">
        <x:v>82</x:v>
      </x:c>
      <x:c r="I306" s="33" t="s">
        <x:v>83</x:v>
      </x:c>
      <x:c r="J306" s="37">
        <x:v>46048</x:v>
      </x:c>
      <x:c r="K306" s="22" t="s">
        <x:v>30</x:v>
      </x:c>
    </x:row>
    <x:row r="307">
      <x:c r="A307" s="34" t="s">
        <x:v>115</x:v>
      </x:c>
      <x:c r="B307" s="36">
        <x:v>46023</x:v>
      </x:c>
      <x:c r="C307" s="45" t="str">
        <x:f t="shared" si="4"/>
        <x:v>JANEIRO</x:v>
      </x:c>
      <x:c r="D307" s="34" t="s">
        <x:v>116</x:v>
      </x:c>
      <x:c r="E307" s="34" t="s">
        <x:v>117</x:v>
      </x:c>
      <x:c r="F307" s="34" t="s">
        <x:v>48</x:v>
      </x:c>
      <x:c r="G307" s="49">
        <x:v>-4957.97</x:v>
      </x:c>
      <x:c r="H307" s="48" t="s">
        <x:v>82</x:v>
      </x:c>
      <x:c r="I307" s="33" t="s">
        <x:v>83</x:v>
      </x:c>
      <x:c r="J307" s="37">
        <x:v>46045</x:v>
      </x:c>
      <x:c r="K307" s="22" t="s">
        <x:v>30</x:v>
      </x:c>
    </x:row>
    <x:row r="308">
      <x:c r="A308" s="34" t="s">
        <x:v>274</x:v>
      </x:c>
      <x:c r="B308" s="36">
        <x:v>46023</x:v>
      </x:c>
      <x:c r="C308" s="45" t="str">
        <x:f t="shared" si="4"/>
        <x:v>JANEIRO</x:v>
      </x:c>
      <x:c r="D308" s="34" t="s">
        <x:v>236</x:v>
      </x:c>
      <x:c r="E308" s="34" t="s">
        <x:v>197</x:v>
      </x:c>
      <x:c r="F308" s="34" t="s">
        <x:v>48</x:v>
      </x:c>
      <x:c r="G308" s="49">
        <x:v>-89.9</x:v>
      </x:c>
      <x:c r="H308" s="48" t="s">
        <x:v>82</x:v>
      </x:c>
      <x:c r="I308" s="33" t="s">
        <x:v>83</x:v>
      </x:c>
      <x:c r="J308" s="37">
        <x:v>46045</x:v>
      </x:c>
      <x:c r="K308" s="22" t="s">
        <x:v>30</x:v>
      </x:c>
    </x:row>
    <x:row r="309">
      <x:c r="A309" s="34" t="s">
        <x:v>292</x:v>
      </x:c>
      <x:c r="B309" s="36">
        <x:v>46023</x:v>
      </x:c>
      <x:c r="C309" s="45" t="str">
        <x:f t="shared" si="4"/>
        <x:v>JANEIRO</x:v>
      </x:c>
      <x:c r="D309" s="34" t="s">
        <x:v>85</x:v>
      </x:c>
      <x:c r="E309" s="34" t="s">
        <x:v>170</x:v>
      </x:c>
      <x:c r="F309" s="34" t="s">
        <x:v>48</x:v>
      </x:c>
      <x:c r="G309" s="49">
        <x:v>-644.32000000000005</x:v>
      </x:c>
      <x:c r="H309" s="48" t="s">
        <x:v>82</x:v>
      </x:c>
      <x:c r="I309" s="33" t="s">
        <x:v>83</x:v>
      </x:c>
      <x:c r="J309" s="37">
        <x:v>46045</x:v>
      </x:c>
      <x:c r="K309" s="22" t="s">
        <x:v>30</x:v>
      </x:c>
    </x:row>
    <x:row r="310">
      <x:c r="A310" s="34" t="s">
        <x:v>293</x:v>
      </x:c>
      <x:c r="B310" s="36">
        <x:v>46023</x:v>
      </x:c>
      <x:c r="C310" s="45" t="str">
        <x:f t="shared" si="4"/>
        <x:v>JANEIRO</x:v>
      </x:c>
      <x:c r="D310" s="34" t="s">
        <x:v>85</x:v>
      </x:c>
      <x:c r="E310" s="34" t="s">
        <x:v>163</x:v>
      </x:c>
      <x:c r="F310" s="34" t="s">
        <x:v>48</x:v>
      </x:c>
      <x:c r="G310" s="49">
        <x:v>-400</x:v>
      </x:c>
      <x:c r="H310" s="48" t="s">
        <x:v>82</x:v>
      </x:c>
      <x:c r="I310" s="33" t="s">
        <x:v>83</x:v>
      </x:c>
      <x:c r="J310" s="37">
        <x:v>46045</x:v>
      </x:c>
      <x:c r="K310" s="22" t="s">
        <x:v>30</x:v>
      </x:c>
    </x:row>
    <x:row r="311">
      <x:c r="A311" s="34" t="s">
        <x:v>234</x:v>
      </x:c>
      <x:c r="B311" s="36">
        <x:v>46023</x:v>
      </x:c>
      <x:c r="C311" s="45" t="str">
        <x:f t="shared" si="4"/>
        <x:v>JANEIRO</x:v>
      </x:c>
      <x:c r="D311" s="34" t="s">
        <x:v>85</x:v>
      </x:c>
      <x:c r="E311" s="34" t="s">
        <x:v>163</x:v>
      </x:c>
      <x:c r="F311" s="34" t="s">
        <x:v>48</x:v>
      </x:c>
      <x:c r="G311" s="49">
        <x:v>-600</x:v>
      </x:c>
      <x:c r="H311" s="48" t="s">
        <x:v>82</x:v>
      </x:c>
      <x:c r="I311" s="33" t="s">
        <x:v>83</x:v>
      </x:c>
      <x:c r="J311" s="37">
        <x:v>46043</x:v>
      </x:c>
      <x:c r="K311" s="22" t="s">
        <x:v>30</x:v>
      </x:c>
    </x:row>
    <x:row r="312">
      <x:c r="A312" s="34" t="s">
        <x:v>294</x:v>
      </x:c>
      <x:c r="B312" s="36">
        <x:v>46023</x:v>
      </x:c>
      <x:c r="C312" s="45" t="str">
        <x:f t="shared" si="4"/>
        <x:v>JANEIRO</x:v>
      </x:c>
      <x:c r="D312" s="34" t="s">
        <x:v>85</x:v>
      </x:c>
      <x:c r="E312" s="34" t="s">
        <x:v>283</x:v>
      </x:c>
      <x:c r="F312" s="34" t="s">
        <x:v>48</x:v>
      </x:c>
      <x:c r="G312" s="49">
        <x:v>-1312</x:v>
      </x:c>
      <x:c r="H312" s="48" t="s">
        <x:v>82</x:v>
      </x:c>
      <x:c r="I312" s="33" t="s">
        <x:v>83</x:v>
      </x:c>
      <x:c r="J312" s="37">
        <x:v>46043</x:v>
      </x:c>
      <x:c r="K312" s="22" t="s">
        <x:v>30</x:v>
      </x:c>
    </x:row>
    <x:row r="313">
      <x:c r="A313" s="34" t="s">
        <x:v>295</x:v>
      </x:c>
      <x:c r="B313" s="36">
        <x:v>46023</x:v>
      </x:c>
      <x:c r="C313" s="45" t="str">
        <x:f t="shared" si="4"/>
        <x:v>JANEIRO</x:v>
      </x:c>
      <x:c r="D313" s="34" t="s">
        <x:v>85</x:v>
      </x:c>
      <x:c r="E313" s="34" t="s">
        <x:v>170</x:v>
      </x:c>
      <x:c r="F313" s="34" t="s">
        <x:v>48</x:v>
      </x:c>
      <x:c r="G313" s="49">
        <x:v>-644.32000000000005</x:v>
      </x:c>
      <x:c r="H313" s="48" t="s">
        <x:v>82</x:v>
      </x:c>
      <x:c r="I313" s="33" t="s">
        <x:v>83</x:v>
      </x:c>
      <x:c r="J313" s="37">
        <x:v>46041</x:v>
      </x:c>
      <x:c r="K313" s="22" t="s">
        <x:v>30</x:v>
      </x:c>
    </x:row>
    <x:row r="314">
      <x:c r="A314" s="34" t="s">
        <x:v>296</x:v>
      </x:c>
      <x:c r="B314" s="36">
        <x:v>46023</x:v>
      </x:c>
      <x:c r="C314" s="45" t="str">
        <x:f t="shared" si="4"/>
        <x:v>JANEIRO</x:v>
      </x:c>
      <x:c r="D314" s="34" t="s">
        <x:v>89</x:v>
      </x:c>
      <x:c r="E314" s="34" t="s">
        <x:v>283</x:v>
      </x:c>
      <x:c r="F314" s="34" t="s">
        <x:v>48</x:v>
      </x:c>
      <x:c r="G314" s="49">
        <x:v>4000</x:v>
      </x:c>
      <x:c r="H314" s="48" t="s">
        <x:v>91</x:v>
      </x:c>
      <x:c r="I314" s="33" t="s">
        <x:v>187</x:v>
      </x:c>
      <x:c r="J314" s="37">
        <x:v>46041</x:v>
      </x:c>
      <x:c r="K314" s="22" t="s">
        <x:v>30</x:v>
      </x:c>
    </x:row>
    <x:row r="315">
      <x:c r="A315" s="34" t="s">
        <x:v>294</x:v>
      </x:c>
      <x:c r="B315" s="36">
        <x:v>46023</x:v>
      </x:c>
      <x:c r="C315" s="45" t="str">
        <x:f t="shared" si="4"/>
        <x:v>JANEIRO</x:v>
      </x:c>
      <x:c r="D315" s="34" t="s">
        <x:v>85</x:v>
      </x:c>
      <x:c r="E315" s="34" t="s">
        <x:v>283</x:v>
      </x:c>
      <x:c r="F315" s="34" t="s">
        <x:v>48</x:v>
      </x:c>
      <x:c r="G315" s="49">
        <x:v>-500</x:v>
      </x:c>
      <x:c r="H315" s="48" t="s">
        <x:v>82</x:v>
      </x:c>
      <x:c r="I315" s="33" t="s">
        <x:v>83</x:v>
      </x:c>
      <x:c r="J315" s="37">
        <x:v>46041</x:v>
      </x:c>
      <x:c r="K315" s="22" t="s">
        <x:v>30</x:v>
      </x:c>
    </x:row>
    <x:row r="316">
      <x:c r="A316" s="34" t="s">
        <x:v>293</x:v>
      </x:c>
      <x:c r="B316" s="36">
        <x:v>46023</x:v>
      </x:c>
      <x:c r="C316" s="45" t="str">
        <x:f t="shared" si="4"/>
        <x:v>JANEIRO</x:v>
      </x:c>
      <x:c r="D316" s="34" t="s">
        <x:v>85</x:v>
      </x:c>
      <x:c r="E316" s="34" t="s">
        <x:v>163</x:v>
      </x:c>
      <x:c r="F316" s="34" t="s">
        <x:v>48</x:v>
      </x:c>
      <x:c r="G316" s="49">
        <x:v>-500</x:v>
      </x:c>
      <x:c r="H316" s="48" t="s">
        <x:v>82</x:v>
      </x:c>
      <x:c r="I316" s="33" t="s">
        <x:v>83</x:v>
      </x:c>
      <x:c r="J316" s="37">
        <x:v>46039</x:v>
      </x:c>
      <x:c r="K316" s="22" t="s">
        <x:v>30</x:v>
      </x:c>
    </x:row>
    <x:row r="317">
      <x:c r="A317" s="34" t="s">
        <x:v>297</x:v>
      </x:c>
      <x:c r="B317" s="36">
        <x:v>46023</x:v>
      </x:c>
      <x:c r="C317" s="45" t="str">
        <x:f t="shared" si="4"/>
        <x:v>JANEIRO</x:v>
      </x:c>
      <x:c r="D317" s="34" t="s">
        <x:v>89</x:v>
      </x:c>
      <x:c r="E317" s="34" t="s">
        <x:v>283</x:v>
      </x:c>
      <x:c r="F317" s="34" t="s">
        <x:v>48</x:v>
      </x:c>
      <x:c r="G317" s="49">
        <x:v>16000</x:v>
      </x:c>
      <x:c r="H317" s="48" t="s">
        <x:v>91</x:v>
      </x:c>
      <x:c r="I317" s="33" t="s">
        <x:v>187</x:v>
      </x:c>
      <x:c r="J317" s="37">
        <x:v>46038</x:v>
      </x:c>
      <x:c r="K317" s="22" t="s">
        <x:v>30</x:v>
      </x:c>
    </x:row>
    <x:row r="318">
      <x:c r="A318" s="34" t="s">
        <x:v>298</x:v>
      </x:c>
      <x:c r="B318" s="36">
        <x:v>46023</x:v>
      </x:c>
      <x:c r="C318" s="45" t="str">
        <x:f t="shared" si="4"/>
        <x:v>JANEIRO</x:v>
      </x:c>
      <x:c r="D318" s="34" t="s">
        <x:v>233</x:v>
      </x:c>
      <x:c r="E318" s="34" t="s">
        <x:v>133</x:v>
      </x:c>
      <x:c r="F318" s="34" t="s">
        <x:v>48</x:v>
      </x:c>
      <x:c r="G318" s="49">
        <x:v>-2487.63</x:v>
      </x:c>
      <x:c r="H318" s="48" t="s">
        <x:v>82</x:v>
      </x:c>
      <x:c r="I318" s="33" t="s">
        <x:v>187</x:v>
      </x:c>
      <x:c r="J318" s="37">
        <x:v>46038</x:v>
      </x:c>
      <x:c r="K318" s="22" t="s">
        <x:v>30</x:v>
      </x:c>
    </x:row>
    <x:row r="319">
      <x:c r="A319" s="34" t="s">
        <x:v>192</x:v>
      </x:c>
      <x:c r="B319" s="36">
        <x:v>46023</x:v>
      </x:c>
      <x:c r="C319" s="45" t="str">
        <x:f t="shared" si="4"/>
        <x:v>JANEIRO</x:v>
      </x:c>
      <x:c r="D319" s="34" t="s">
        <x:v>236</x:v>
      </x:c>
      <x:c r="E319" s="34" t="s">
        <x:v>192</x:v>
      </x:c>
      <x:c r="F319" s="34" t="s">
        <x:v>48</x:v>
      </x:c>
      <x:c r="G319" s="49">
        <x:v>-603.86</x:v>
      </x:c>
      <x:c r="H319" s="48" t="s">
        <x:v>82</x:v>
      </x:c>
      <x:c r="I319" s="33" t="s">
        <x:v>187</x:v>
      </x:c>
      <x:c r="J319" s="37">
        <x:v>46038</x:v>
      </x:c>
      <x:c r="K319" s="22" t="s">
        <x:v>30</x:v>
      </x:c>
    </x:row>
    <x:row r="320">
      <x:c r="A320" s="34" t="s">
        <x:v>294</x:v>
      </x:c>
      <x:c r="B320" s="36">
        <x:v>46023</x:v>
      </x:c>
      <x:c r="C320" s="45" t="str">
        <x:f t="shared" si="4"/>
        <x:v>JANEIRO</x:v>
      </x:c>
      <x:c r="D320" s="34" t="s">
        <x:v>85</x:v>
      </x:c>
      <x:c r="E320" s="34" t="s">
        <x:v>283</x:v>
      </x:c>
      <x:c r="F320" s="34" t="s">
        <x:v>48</x:v>
      </x:c>
      <x:c r="G320" s="49">
        <x:v>-500</x:v>
      </x:c>
      <x:c r="H320" s="48" t="s">
        <x:v>82</x:v>
      </x:c>
      <x:c r="I320" s="33" t="s">
        <x:v>83</x:v>
      </x:c>
      <x:c r="J320" s="37">
        <x:v>46037</x:v>
      </x:c>
      <x:c r="K320" s="22" t="s">
        <x:v>30</x:v>
      </x:c>
    </x:row>
    <x:row r="321">
      <x:c r="A321" s="34" t="s">
        <x:v>171</x:v>
      </x:c>
      <x:c r="B321" s="36">
        <x:v>46023</x:v>
      </x:c>
      <x:c r="C321" s="45" t="str">
        <x:f t="shared" si="4"/>
        <x:v>JANEIRO</x:v>
      </x:c>
      <x:c r="D321" s="34" t="s">
        <x:v>227</x:v>
      </x:c>
      <x:c r="E321" s="34" t="s">
        <x:v>171</x:v>
      </x:c>
      <x:c r="F321" s="34" t="s">
        <x:v>48</x:v>
      </x:c>
      <x:c r="G321" s="49">
        <x:v>-18087.689999999999</x:v>
      </x:c>
      <x:c r="H321" s="48" t="s">
        <x:v>82</x:v>
      </x:c>
      <x:c r="I321" s="33" t="s">
        <x:v>83</x:v>
      </x:c>
      <x:c r="J321" s="37">
        <x:v>46037</x:v>
      </x:c>
      <x:c r="K321" s="22" t="s">
        <x:v>30</x:v>
      </x:c>
    </x:row>
    <x:row r="322">
      <x:c r="A322" s="34" t="s">
        <x:v>110</x:v>
      </x:c>
      <x:c r="B322" s="36">
        <x:v>46023</x:v>
      </x:c>
      <x:c r="C322" s="45" t="str">
        <x:f t="shared" ref="C322:C385" si="5">UPPER(TEXT(B322,"MMMM"))</x:f>
        <x:v>JANUARY</x:v>
      </x:c>
      <x:c r="D322" s="34" t="s">
        <x:v>110</x:v>
      </x:c>
      <x:c r="E322" s="34" t="s">
        <x:v>246</x:v>
      </x:c>
      <x:c r="F322" s="34" t="s">
        <x:v>48</x:v>
      </x:c>
      <x:c r="G322" s="49">
        <x:v>-273.18</x:v>
      </x:c>
      <x:c r="H322" s="48" t="s">
        <x:v>82</x:v>
      </x:c>
      <x:c r="I322" s="33" t="s">
        <x:v>83</x:v>
      </x:c>
      <x:c r="J322" s="37">
        <x:v>46037</x:v>
      </x:c>
      <x:c r="K322" s="22" t="s">
        <x:v>30</x:v>
      </x:c>
    </x:row>
    <x:row r="323">
      <x:c r="A323" s="34" t="s">
        <x:v>299</x:v>
      </x:c>
      <x:c r="B323" s="36">
        <x:v>46023</x:v>
      </x:c>
      <x:c r="C323" s="45" t="str">
        <x:f t="shared" si="5"/>
        <x:v>JANEIRO</x:v>
      </x:c>
      <x:c r="D323" s="34" t="s">
        <x:v>201</x:v>
      </x:c>
      <x:c r="E323" s="34" t="s">
        <x:v>201</x:v>
      </x:c>
      <x:c r="F323" s="34" t="s">
        <x:v>48</x:v>
      </x:c>
      <x:c r="G323" s="49">
        <x:v>-4750.29</x:v>
      </x:c>
      <x:c r="H323" s="48" t="s">
        <x:v>82</x:v>
      </x:c>
      <x:c r="I323" s="33" t="s">
        <x:v>83</x:v>
      </x:c>
      <x:c r="J323" s="37">
        <x:v>46037</x:v>
      </x:c>
      <x:c r="K323" s="22" t="s">
        <x:v>30</x:v>
      </x:c>
    </x:row>
    <x:row r="324">
      <x:c r="A324" s="34" t="s">
        <x:v>300</x:v>
      </x:c>
      <x:c r="B324" s="36">
        <x:v>46023</x:v>
      </x:c>
      <x:c r="C324" s="45" t="str">
        <x:f t="shared" si="5"/>
        <x:v>JANEIRO</x:v>
      </x:c>
      <x:c r="D324" s="34" t="s">
        <x:v>183</x:v>
      </x:c>
      <x:c r="E324" s="34" t="s">
        <x:v>183</x:v>
      </x:c>
      <x:c r="F324" s="34" t="s">
        <x:v>48</x:v>
      </x:c>
      <x:c r="G324" s="49">
        <x:v>-5000</x:v>
      </x:c>
      <x:c r="H324" s="48" t="s">
        <x:v>82</x:v>
      </x:c>
      <x:c r="I324" s="33" t="s">
        <x:v>187</x:v>
      </x:c>
      <x:c r="J324" s="37">
        <x:v>46036</x:v>
      </x:c>
      <x:c r="K324" s="22" t="s">
        <x:v>30</x:v>
      </x:c>
    </x:row>
    <x:row r="325">
      <x:c r="A325" s="34" t="s">
        <x:v>177</x:v>
      </x:c>
      <x:c r="B325" s="36">
        <x:v>46023</x:v>
      </x:c>
      <x:c r="C325" s="45" t="str">
        <x:f t="shared" si="5"/>
        <x:v>JANEIRO</x:v>
      </x:c>
      <x:c r="D325" s="34" t="s">
        <x:v>85</x:v>
      </x:c>
      <x:c r="E325" s="34" t="s">
        <x:v>178</x:v>
      </x:c>
      <x:c r="F325" s="34" t="s">
        <x:v>48</x:v>
      </x:c>
      <x:c r="G325" s="49">
        <x:v>-17000</x:v>
      </x:c>
      <x:c r="H325" s="48" t="s">
        <x:v>82</x:v>
      </x:c>
      <x:c r="I325" s="33" t="s">
        <x:v>187</x:v>
      </x:c>
      <x:c r="J325" s="37">
        <x:v>46036</x:v>
      </x:c>
      <x:c r="K325" s="22" t="s">
        <x:v>30</x:v>
      </x:c>
    </x:row>
    <x:row r="326">
      <x:c r="A326" s="34" t="s">
        <x:v>177</x:v>
      </x:c>
      <x:c r="B326" s="36">
        <x:v>46023</x:v>
      </x:c>
      <x:c r="C326" s="45" t="str">
        <x:f t="shared" si="5"/>
        <x:v>JANEIRO</x:v>
      </x:c>
      <x:c r="D326" s="34" t="s">
        <x:v>85</x:v>
      </x:c>
      <x:c r="E326" s="34" t="s">
        <x:v>178</x:v>
      </x:c>
      <x:c r="F326" s="34" t="s">
        <x:v>48</x:v>
      </x:c>
      <x:c r="G326" s="49">
        <x:v>17000</x:v>
      </x:c>
      <x:c r="H326" s="48" t="s">
        <x:v>91</x:v>
      </x:c>
      <x:c r="I326" s="33" t="s">
        <x:v>187</x:v>
      </x:c>
      <x:c r="J326" s="37">
        <x:v>46036</x:v>
      </x:c>
      <x:c r="K326" s="22" t="s">
        <x:v>30</x:v>
      </x:c>
    </x:row>
    <x:row r="327">
      <x:c r="A327" s="34" t="s">
        <x:v>301</x:v>
      </x:c>
      <x:c r="B327" s="36">
        <x:v>46023</x:v>
      </x:c>
      <x:c r="C327" s="45" t="str">
        <x:f t="shared" si="5"/>
        <x:v>JANEIRO</x:v>
      </x:c>
      <x:c r="D327" s="34" t="s">
        <x:v>89</x:v>
      </x:c>
      <x:c r="E327" s="34" t="s">
        <x:v>283</x:v>
      </x:c>
      <x:c r="F327" s="34" t="s">
        <x:v>48</x:v>
      </x:c>
      <x:c r="G327" s="49">
        <x:v>23000</x:v>
      </x:c>
      <x:c r="H327" s="48" t="s">
        <x:v>91</x:v>
      </x:c>
      <x:c r="I327" s="33" t="s">
        <x:v>187</x:v>
      </x:c>
      <x:c r="J327" s="37">
        <x:v>46035</x:v>
      </x:c>
      <x:c r="K327" s="22" t="s">
        <x:v>30</x:v>
      </x:c>
    </x:row>
    <x:row r="328">
      <x:c r="A328" s="34" t="s">
        <x:v>302</x:v>
      </x:c>
      <x:c r="B328" s="36">
        <x:v>46023</x:v>
      </x:c>
      <x:c r="C328" s="45" t="str">
        <x:f t="shared" si="5"/>
        <x:v>JANEIRO</x:v>
      </x:c>
      <x:c r="D328" s="34" t="s">
        <x:v>85</x:v>
      </x:c>
      <x:c r="E328" s="34" t="s">
        <x:v>178</x:v>
      </x:c>
      <x:c r="F328" s="34" t="s">
        <x:v>48</x:v>
      </x:c>
      <x:c r="G328" s="49">
        <x:v>-728</x:v>
      </x:c>
      <x:c r="H328" s="48" t="s">
        <x:v>82</x:v>
      </x:c>
      <x:c r="I328" s="33" t="s">
        <x:v>83</x:v>
      </x:c>
      <x:c r="J328" s="37">
        <x:v>46035</x:v>
      </x:c>
      <x:c r="K328" s="22" t="s">
        <x:v>30</x:v>
      </x:c>
    </x:row>
    <x:row r="329">
      <x:c r="A329" s="34" t="s">
        <x:v>204</x:v>
      </x:c>
      <x:c r="B329" s="36">
        <x:v>46023</x:v>
      </x:c>
      <x:c r="C329" s="45" t="str">
        <x:f t="shared" si="5"/>
        <x:v>JANEIRO</x:v>
      </x:c>
      <x:c r="D329" s="34" t="s">
        <x:v>85</x:v>
      </x:c>
      <x:c r="E329" s="34" t="s">
        <x:v>204</x:v>
      </x:c>
      <x:c r="F329" s="34" t="s">
        <x:v>48</x:v>
      </x:c>
      <x:c r="G329" s="49">
        <x:v>-57</x:v>
      </x:c>
      <x:c r="H329" s="48" t="s">
        <x:v>82</x:v>
      </x:c>
      <x:c r="I329" s="33" t="s">
        <x:v>83</x:v>
      </x:c>
      <x:c r="J329" s="37">
        <x:v>46035</x:v>
      </x:c>
      <x:c r="K329" s="22" t="s">
        <x:v>30</x:v>
      </x:c>
    </x:row>
    <x:row r="330">
      <x:c r="A330" s="34" t="s">
        <x:v>294</x:v>
      </x:c>
      <x:c r="B330" s="36">
        <x:v>46023</x:v>
      </x:c>
      <x:c r="C330" s="45" t="str">
        <x:f t="shared" si="5"/>
        <x:v>JANEIRO</x:v>
      </x:c>
      <x:c r="D330" s="34" t="s">
        <x:v>85</x:v>
      </x:c>
      <x:c r="E330" s="34" t="s">
        <x:v>283</x:v>
      </x:c>
      <x:c r="F330" s="34" t="s">
        <x:v>48</x:v>
      </x:c>
      <x:c r="G330" s="49">
        <x:v>-500</x:v>
      </x:c>
      <x:c r="H330" s="48" t="s">
        <x:v>82</x:v>
      </x:c>
      <x:c r="I330" s="33" t="s">
        <x:v>83</x:v>
      </x:c>
      <x:c r="J330" s="37">
        <x:v>46034</x:v>
      </x:c>
      <x:c r="K330" s="22" t="s">
        <x:v>30</x:v>
      </x:c>
    </x:row>
    <x:row r="331">
      <x:c r="A331" s="34" t="s">
        <x:v>303</x:v>
      </x:c>
      <x:c r="B331" s="36">
        <x:v>46023</x:v>
      </x:c>
      <x:c r="C331" s="45" t="str">
        <x:f t="shared" si="5"/>
        <x:v>JANEIRO</x:v>
      </x:c>
      <x:c r="D331" s="34" t="s">
        <x:v>201</x:v>
      </x:c>
      <x:c r="E331" s="34" t="s">
        <x:v>283</x:v>
      </x:c>
      <x:c r="F331" s="34" t="s">
        <x:v>48</x:v>
      </x:c>
      <x:c r="G331" s="49">
        <x:v>-2500</x:v>
      </x:c>
      <x:c r="H331" s="48" t="s">
        <x:v>82</x:v>
      </x:c>
      <x:c r="I331" s="33" t="s">
        <x:v>187</x:v>
      </x:c>
      <x:c r="J331" s="37">
        <x:v>46034</x:v>
      </x:c>
      <x:c r="K331" s="22" t="s">
        <x:v>30</x:v>
      </x:c>
    </x:row>
    <x:row r="332">
      <x:c r="A332" s="34" t="s">
        <x:v>304</x:v>
      </x:c>
      <x:c r="B332" s="36">
        <x:v>46023</x:v>
      </x:c>
      <x:c r="C332" s="45" t="str">
        <x:f t="shared" si="5"/>
        <x:v>JANEIRO</x:v>
      </x:c>
      <x:c r="D332" s="34" t="s">
        <x:v>165</x:v>
      </x:c>
      <x:c r="E332" s="34" t="s">
        <x:v>283</x:v>
      </x:c>
      <x:c r="F332" s="34" t="s">
        <x:v>48</x:v>
      </x:c>
      <x:c r="G332" s="49">
        <x:v>-4000</x:v>
      </x:c>
      <x:c r="H332" s="48" t="s">
        <x:v>82</x:v>
      </x:c>
      <x:c r="I332" s="33" t="s">
        <x:v>187</x:v>
      </x:c>
      <x:c r="J332" s="37">
        <x:v>46031</x:v>
      </x:c>
      <x:c r="K332" s="22" t="s">
        <x:v>30</x:v>
      </x:c>
    </x:row>
    <x:row r="333">
      <x:c r="A333" s="34" t="s">
        <x:v>170</x:v>
      </x:c>
      <x:c r="B333" s="36">
        <x:v>46023</x:v>
      </x:c>
      <x:c r="C333" s="45" t="str">
        <x:f t="shared" si="5"/>
        <x:v>JANEIRO</x:v>
      </x:c>
      <x:c r="D333" s="34" t="s">
        <x:v>85</x:v>
      </x:c>
      <x:c r="E333" s="34" t="s">
        <x:v>170</x:v>
      </x:c>
      <x:c r="F333" s="34" t="s">
        <x:v>48</x:v>
      </x:c>
      <x:c r="G333" s="49">
        <x:v>-3696</x:v>
      </x:c>
      <x:c r="H333" s="48" t="s">
        <x:v>82</x:v>
      </x:c>
      <x:c r="I333" s="33" t="s">
        <x:v>83</x:v>
      </x:c>
      <x:c r="J333" s="37">
        <x:v>46031</x:v>
      </x:c>
      <x:c r="K333" s="22" t="s">
        <x:v>30</x:v>
      </x:c>
    </x:row>
    <x:row r="334">
      <x:c r="A334" s="34" t="s">
        <x:v>294</x:v>
      </x:c>
      <x:c r="B334" s="36">
        <x:v>46023</x:v>
      </x:c>
      <x:c r="C334" s="45" t="str">
        <x:f t="shared" si="5"/>
        <x:v>JANEIRO</x:v>
      </x:c>
      <x:c r="D334" s="34" t="s">
        <x:v>85</x:v>
      </x:c>
      <x:c r="E334" s="34" t="s">
        <x:v>283</x:v>
      </x:c>
      <x:c r="F334" s="34" t="s">
        <x:v>48</x:v>
      </x:c>
      <x:c r="G334" s="49">
        <x:v>-50</x:v>
      </x:c>
      <x:c r="H334" s="48" t="s">
        <x:v>82</x:v>
      </x:c>
      <x:c r="I334" s="33" t="s">
        <x:v>187</x:v>
      </x:c>
      <x:c r="J334" s="37">
        <x:v>46030</x:v>
      </x:c>
      <x:c r="K334" s="22" t="s">
        <x:v>30</x:v>
      </x:c>
    </x:row>
    <x:row r="335">
      <x:c r="A335" s="34" t="s">
        <x:v>294</x:v>
      </x:c>
      <x:c r="B335" s="36">
        <x:v>46023</x:v>
      </x:c>
      <x:c r="C335" s="45" t="str">
        <x:f t="shared" si="5"/>
        <x:v>JANEIRO</x:v>
      </x:c>
      <x:c r="D335" s="34" t="s">
        <x:v>85</x:v>
      </x:c>
      <x:c r="E335" s="34" t="s">
        <x:v>283</x:v>
      </x:c>
      <x:c r="F335" s="34" t="s">
        <x:v>48</x:v>
      </x:c>
      <x:c r="G335" s="49">
        <x:v>-500</x:v>
      </x:c>
      <x:c r="H335" s="48" t="s">
        <x:v>82</x:v>
      </x:c>
      <x:c r="I335" s="33" t="s">
        <x:v>83</x:v>
      </x:c>
      <x:c r="J335" s="37">
        <x:v>46030</x:v>
      </x:c>
      <x:c r="K335" s="22" t="s">
        <x:v>30</x:v>
      </x:c>
    </x:row>
    <x:row r="336">
      <x:c r="A336" s="34" t="s">
        <x:v>305</x:v>
      </x:c>
      <x:c r="B336" s="36">
        <x:v>46023</x:v>
      </x:c>
      <x:c r="C336" s="45" t="str">
        <x:f t="shared" si="5"/>
        <x:v>JANEIRO</x:v>
      </x:c>
      <x:c r="D336" s="34" t="s">
        <x:v>89</x:v>
      </x:c>
      <x:c r="E336" s="34" t="s">
        <x:v>178</x:v>
      </x:c>
      <x:c r="F336" s="34" t="s">
        <x:v>48</x:v>
      </x:c>
      <x:c r="G336" s="49">
        <x:v>16000</x:v>
      </x:c>
      <x:c r="H336" s="48" t="s">
        <x:v>91</x:v>
      </x:c>
      <x:c r="I336" s="33" t="s">
        <x:v>83</x:v>
      </x:c>
      <x:c r="J336" s="37">
        <x:v>46029</x:v>
      </x:c>
      <x:c r="K336" s="22" t="s">
        <x:v>30</x:v>
      </x:c>
    </x:row>
    <x:row r="337">
      <x:c r="A337" s="34" t="s">
        <x:v>294</x:v>
      </x:c>
      <x:c r="B337" s="36">
        <x:v>46023</x:v>
      </x:c>
      <x:c r="C337" s="45" t="str">
        <x:f t="shared" si="5"/>
        <x:v>JANEIRO</x:v>
      </x:c>
      <x:c r="D337" s="34" t="s">
        <x:v>85</x:v>
      </x:c>
      <x:c r="E337" s="34" t="s">
        <x:v>283</x:v>
      </x:c>
      <x:c r="F337" s="34" t="s">
        <x:v>48</x:v>
      </x:c>
      <x:c r="G337" s="49">
        <x:v>-1190</x:v>
      </x:c>
      <x:c r="H337" s="48" t="s">
        <x:v>82</x:v>
      </x:c>
      <x:c r="I337" s="33" t="s">
        <x:v>187</x:v>
      </x:c>
      <x:c r="J337" s="37">
        <x:v>46028</x:v>
      </x:c>
      <x:c r="K337" s="22" t="s">
        <x:v>30</x:v>
      </x:c>
    </x:row>
    <x:row r="338">
      <x:c r="A338" s="34" t="s">
        <x:v>170</x:v>
      </x:c>
      <x:c r="B338" s="36">
        <x:v>46023</x:v>
      </x:c>
      <x:c r="C338" s="45" t="str">
        <x:f t="shared" si="5"/>
        <x:v>JANEIRO</x:v>
      </x:c>
      <x:c r="D338" s="34" t="s">
        <x:v>85</x:v>
      </x:c>
      <x:c r="E338" s="34" t="s">
        <x:v>170</x:v>
      </x:c>
      <x:c r="F338" s="34" t="s">
        <x:v>48</x:v>
      </x:c>
      <x:c r="G338" s="49">
        <x:v>-372.03</x:v>
      </x:c>
      <x:c r="H338" s="48" t="s">
        <x:v>82</x:v>
      </x:c>
      <x:c r="I338" s="33" t="s">
        <x:v>83</x:v>
      </x:c>
      <x:c r="J338" s="37">
        <x:v>46027</x:v>
      </x:c>
      <x:c r="K338" s="22" t="s">
        <x:v>30</x:v>
      </x:c>
    </x:row>
    <x:row r="339">
      <x:c r="A339" s="34" t="s">
        <x:v>294</x:v>
      </x:c>
      <x:c r="B339" s="36">
        <x:v>46023</x:v>
      </x:c>
      <x:c r="C339" s="45" t="str">
        <x:f t="shared" si="5"/>
        <x:v>JANEIRO</x:v>
      </x:c>
      <x:c r="D339" s="34" t="s">
        <x:v>85</x:v>
      </x:c>
      <x:c r="E339" s="34" t="s">
        <x:v>283</x:v>
      </x:c>
      <x:c r="F339" s="34" t="s">
        <x:v>48</x:v>
      </x:c>
      <x:c r="G339" s="49">
        <x:v>-500</x:v>
      </x:c>
      <x:c r="H339" s="48" t="s">
        <x:v>82</x:v>
      </x:c>
      <x:c r="I339" s="33" t="s">
        <x:v>83</x:v>
      </x:c>
      <x:c r="J339" s="37">
        <x:v>46026</x:v>
      </x:c>
      <x:c r="K339" s="22" t="s">
        <x:v>30</x:v>
      </x:c>
    </x:row>
    <x:row r="340">
      <x:c r="A340" s="34" t="s">
        <x:v>306</x:v>
      </x:c>
      <x:c r="B340" s="36">
        <x:v>46023</x:v>
      </x:c>
      <x:c r="C340" s="45" t="str">
        <x:f t="shared" si="5"/>
        <x:v>JANEIRO</x:v>
      </x:c>
      <x:c r="D340" s="34" t="s">
        <x:v>89</x:v>
      </x:c>
      <x:c r="E340" s="34" t="s">
        <x:v>307</x:v>
      </x:c>
      <x:c r="F340" s="34" t="s">
        <x:v>48</x:v>
      </x:c>
      <x:c r="G340" s="49">
        <x:v>23500</x:v>
      </x:c>
      <x:c r="H340" s="48" t="s">
        <x:v>91</x:v>
      </x:c>
      <x:c r="I340" s="33" t="s">
        <x:v>83</x:v>
      </x:c>
      <x:c r="J340" s="37">
        <x:v>46023</x:v>
      </x:c>
      <x:c r="K340" s="22" t="s">
        <x:v>30</x:v>
      </x:c>
    </x:row>
    <x:row r="341">
      <x:c r="A341" s="35" t="s">
        <x:v>308</x:v>
      </x:c>
      <x:c r="B341" s="43">
        <x:v>46054</x:v>
      </x:c>
      <x:c r="C341" s="45" t="str">
        <x:f t="shared" si="5"/>
        <x:v>FEVEREIRO</x:v>
      </x:c>
      <x:c r="D341" s="34" t="s">
        <x:v>89</x:v>
      </x:c>
      <x:c r="E341" s="34" t="s">
        <x:v>163</x:v>
      </x:c>
      <x:c r="F341" s="34" t="s">
        <x:v>48</x:v>
      </x:c>
      <x:c r="G341" s="49">
        <x:v>2000</x:v>
      </x:c>
      <x:c r="H341" s="48" t="s">
        <x:v>91</x:v>
      </x:c>
      <x:c r="I341" s="33" t="s">
        <x:v>83</x:v>
      </x:c>
      <x:c r="J341" s="37">
        <x:v>46054</x:v>
      </x:c>
      <x:c r="K341" s="22" t="s">
        <x:v>30</x:v>
      </x:c>
    </x:row>
    <x:row r="342" ht="15" hidden="1" customHeight="1">
      <x:c r="A342" s="24" t="s">
        <x:v>309</x:v>
      </x:c>
      <x:c r="B342" s="25">
        <x:v>46023</x:v>
      </x:c>
      <x:c r="C342" s="45" t="str">
        <x:f t="shared" si="5"/>
        <x:v>JANEIRO</x:v>
      </x:c>
      <x:c r="D342" s="30" t="s">
        <x:v>227</x:v>
      </x:c>
      <x:c r="E342" s="24" t="s">
        <x:v>310</x:v>
      </x:c>
      <x:c r="F342" s="24" t="s">
        <x:v>65</x:v>
      </x:c>
      <x:c r="G342" s="44">
        <x:v>-570</x:v>
      </x:c>
      <x:c r="H342" s="24" t="s">
        <x:v>82</x:v>
      </x:c>
      <x:c r="I342" s="24" t="s">
        <x:v>311</x:v>
      </x:c>
      <x:c r="J342" s="24" t="s">
        <x:v>312</x:v>
      </x:c>
      <x:c r="K342" s="22" t="s">
        <x:v>11</x:v>
      </x:c>
    </x:row>
    <x:row r="343" ht="15" hidden="1" customHeight="1">
      <x:c r="A343" s="24" t="s">
        <x:v>309</x:v>
      </x:c>
      <x:c r="B343" s="25">
        <x:v>46023</x:v>
      </x:c>
      <x:c r="C343" s="45" t="str">
        <x:f t="shared" si="5"/>
        <x:v>JANEIRO</x:v>
      </x:c>
      <x:c r="D343" s="30" t="s">
        <x:v>227</x:v>
      </x:c>
      <x:c r="E343" s="24" t="s">
        <x:v>313</x:v>
      </x:c>
      <x:c r="F343" s="24" t="s">
        <x:v>65</x:v>
      </x:c>
      <x:c r="G343" s="44">
        <x:v>-5620.4939999999997</x:v>
      </x:c>
      <x:c r="H343" s="24" t="s">
        <x:v>82</x:v>
      </x:c>
      <x:c r="I343" s="24" t="s">
        <x:v>311</x:v>
      </x:c>
      <x:c r="J343" s="24" t="s">
        <x:v>312</x:v>
      </x:c>
      <x:c r="K343" s="22" t="s">
        <x:v>11</x:v>
      </x:c>
    </x:row>
    <x:row r="344" ht="15" hidden="1" customHeight="1">
      <x:c r="A344" s="24" t="s">
        <x:v>309</x:v>
      </x:c>
      <x:c r="B344" s="25">
        <x:v>46023</x:v>
      </x:c>
      <x:c r="C344" s="45" t="str">
        <x:f t="shared" si="5"/>
        <x:v>JANEIRO</x:v>
      </x:c>
      <x:c r="D344" s="30" t="s">
        <x:v>227</x:v>
      </x:c>
      <x:c r="E344" s="24" t="s">
        <x:v>313</x:v>
      </x:c>
      <x:c r="F344" s="24" t="s">
        <x:v>44</x:v>
      </x:c>
      <x:c r="G344" s="44">
        <x:v>-5620.4939999999997</x:v>
      </x:c>
      <x:c r="H344" s="24" t="s">
        <x:v>82</x:v>
      </x:c>
      <x:c r="I344" s="24" t="s">
        <x:v>311</x:v>
      </x:c>
      <x:c r="J344" s="24" t="s">
        <x:v>312</x:v>
      </x:c>
      <x:c r="K344" s="22" t="s">
        <x:v>11</x:v>
      </x:c>
    </x:row>
    <x:row r="345" ht="15" hidden="1" customHeight="1">
      <x:c r="A345" s="24" t="s">
        <x:v>309</x:v>
      </x:c>
      <x:c r="B345" s="25">
        <x:v>46023</x:v>
      </x:c>
      <x:c r="C345" s="45" t="str">
        <x:f t="shared" si="5"/>
        <x:v>JANEIRO</x:v>
      </x:c>
      <x:c r="D345" s="30" t="s">
        <x:v>227</x:v>
      </x:c>
      <x:c r="E345" s="24" t="s">
        <x:v>313</x:v>
      </x:c>
      <x:c r="F345" s="24" t="s">
        <x:v>59</x:v>
      </x:c>
      <x:c r="G345" s="44">
        <x:v>-5620.4939999999997</x:v>
      </x:c>
      <x:c r="H345" s="24" t="s">
        <x:v>82</x:v>
      </x:c>
      <x:c r="I345" s="24" t="s">
        <x:v>311</x:v>
      </x:c>
      <x:c r="J345" s="24" t="s">
        <x:v>312</x:v>
      </x:c>
      <x:c r="K345" s="22" t="s">
        <x:v>11</x:v>
      </x:c>
    </x:row>
    <x:row r="346" ht="15" hidden="1" customHeight="1">
      <x:c r="A346" s="24" t="s">
        <x:v>309</x:v>
      </x:c>
      <x:c r="B346" s="25">
        <x:v>46023</x:v>
      </x:c>
      <x:c r="C346" s="45" t="str">
        <x:f t="shared" si="5"/>
        <x:v>JANEIRO</x:v>
      </x:c>
      <x:c r="D346" s="30" t="s">
        <x:v>227</x:v>
      </x:c>
      <x:c r="E346" s="24" t="s">
        <x:v>313</x:v>
      </x:c>
      <x:c r="F346" s="24" t="s">
        <x:v>66</x:v>
      </x:c>
      <x:c r="G346" s="44">
        <x:v>-5620.4939999999997</x:v>
      </x:c>
      <x:c r="H346" s="24" t="s">
        <x:v>82</x:v>
      </x:c>
      <x:c r="I346" s="24" t="s">
        <x:v>311</x:v>
      </x:c>
      <x:c r="J346" s="24" t="s">
        <x:v>312</x:v>
      </x:c>
      <x:c r="K346" s="22" t="s">
        <x:v>11</x:v>
      </x:c>
    </x:row>
    <x:row r="347" ht="15" hidden="1" customHeight="1">
      <x:c r="A347" s="24" t="s">
        <x:v>309</x:v>
      </x:c>
      <x:c r="B347" s="25">
        <x:v>46023</x:v>
      </x:c>
      <x:c r="C347" s="45" t="str">
        <x:f t="shared" si="5"/>
        <x:v>JANEIRO</x:v>
      </x:c>
      <x:c r="D347" s="30" t="s">
        <x:v>227</x:v>
      </x:c>
      <x:c r="E347" s="24" t="s">
        <x:v>313</x:v>
      </x:c>
      <x:c r="F347" s="24" t="s">
        <x:v>314</x:v>
      </x:c>
      <x:c r="G347" s="44">
        <x:v>-5620.4939999999997</x:v>
      </x:c>
      <x:c r="H347" s="24" t="s">
        <x:v>82</x:v>
      </x:c>
      <x:c r="I347" s="24" t="s">
        <x:v>311</x:v>
      </x:c>
      <x:c r="J347" s="24" t="s">
        <x:v>312</x:v>
      </x:c>
      <x:c r="K347" s="22" t="s">
        <x:v>11</x:v>
      </x:c>
    </x:row>
    <x:row r="348" ht="15" hidden="1" customHeight="1">
      <x:c r="A348" s="24" t="s">
        <x:v>315</x:v>
      </x:c>
      <x:c r="B348" s="25">
        <x:v>46023</x:v>
      </x:c>
      <x:c r="C348" s="45" t="str">
        <x:f t="shared" si="5"/>
        <x:v>JANEIRO</x:v>
      </x:c>
      <x:c r="D348" s="30" t="s">
        <x:v>162</x:v>
      </x:c>
      <x:c r="E348" s="24" t="s">
        <x:v>24</x:v>
      </x:c>
      <x:c r="F348" s="24" t="s">
        <x:v>66</x:v>
      </x:c>
      <x:c r="G348" s="44">
        <x:v>-400</x:v>
      </x:c>
      <x:c r="H348" s="24" t="s">
        <x:v>82</x:v>
      </x:c>
      <x:c r="I348" s="24" t="s">
        <x:v>311</x:v>
      </x:c>
      <x:c r="J348" s="24" t="s">
        <x:v>316</x:v>
      </x:c>
      <x:c r="K348" s="22" t="s">
        <x:v>11</x:v>
      </x:c>
    </x:row>
    <x:row r="349" ht="15" hidden="1" customHeight="1">
      <x:c r="A349" s="24" t="s">
        <x:v>315</x:v>
      </x:c>
      <x:c r="B349" s="25">
        <x:v>46023</x:v>
      </x:c>
      <x:c r="C349" s="45" t="str">
        <x:f t="shared" si="5"/>
        <x:v>JANEIRO</x:v>
      </x:c>
      <x:c r="D349" s="30" t="s">
        <x:v>162</x:v>
      </x:c>
      <x:c r="E349" s="24" t="s">
        <x:v>317</x:v>
      </x:c>
      <x:c r="F349" s="24" t="s">
        <x:v>44</x:v>
      </x:c>
      <x:c r="G349" s="44">
        <x:v>-400</x:v>
      </x:c>
      <x:c r="H349" s="24" t="s">
        <x:v>82</x:v>
      </x:c>
      <x:c r="I349" s="24" t="s">
        <x:v>311</x:v>
      </x:c>
      <x:c r="J349" s="24" t="s">
        <x:v>316</x:v>
      </x:c>
      <x:c r="K349" s="22" t="s">
        <x:v>11</x:v>
      </x:c>
    </x:row>
    <x:row r="350" ht="15" hidden="1" customHeight="1">
      <x:c r="A350" s="24" t="s">
        <x:v>318</x:v>
      </x:c>
      <x:c r="B350" s="25">
        <x:v>46023</x:v>
      </x:c>
      <x:c r="C350" s="45" t="str">
        <x:f t="shared" si="5"/>
        <x:v>JANEIRO</x:v>
      </x:c>
      <x:c r="D350" s="24" t="s">
        <x:v>89</x:v>
      </x:c>
      <x:c r="E350" s="24" t="s">
        <x:v>319</x:v>
      </x:c>
      <x:c r="F350" s="24" t="s">
        <x:v>65</x:v>
      </x:c>
      <x:c r="G350" s="44">
        <x:v>9853.6</x:v>
      </x:c>
      <x:c r="H350" s="24" t="s">
        <x:v>91</x:v>
      </x:c>
      <x:c r="I350" s="24" t="s">
        <x:v>311</x:v>
      </x:c>
      <x:c r="J350" s="24" t="s">
        <x:v>316</x:v>
      </x:c>
      <x:c r="K350" s="22" t="s">
        <x:v>11</x:v>
      </x:c>
    </x:row>
    <x:row r="351" ht="15" hidden="1" customHeight="1">
      <x:c r="A351" s="24" t="s">
        <x:v>320</x:v>
      </x:c>
      <x:c r="B351" s="25">
        <x:v>46023</x:v>
      </x:c>
      <x:c r="C351" s="45" t="str">
        <x:f t="shared" si="5"/>
        <x:v>JANEIRO</x:v>
      </x:c>
      <x:c r="D351" s="24" t="s">
        <x:v>89</x:v>
      </x:c>
      <x:c r="E351" s="24" t="s">
        <x:v>321</x:v>
      </x:c>
      <x:c r="F351" s="24" t="s">
        <x:v>66</x:v>
      </x:c>
      <x:c r="G351" s="44">
        <x:v>9101.5</x:v>
      </x:c>
      <x:c r="H351" s="24" t="s">
        <x:v>91</x:v>
      </x:c>
      <x:c r="I351" s="24" t="s">
        <x:v>311</x:v>
      </x:c>
      <x:c r="J351" s="24" t="s">
        <x:v>316</x:v>
      </x:c>
      <x:c r="K351" s="22" t="s">
        <x:v>11</x:v>
      </x:c>
    </x:row>
    <x:row r="352" ht="15" hidden="1" customHeight="1">
      <x:c r="A352" s="24" t="s">
        <x:v>322</x:v>
      </x:c>
      <x:c r="B352" s="25">
        <x:v>46023</x:v>
      </x:c>
      <x:c r="C352" s="45" t="str">
        <x:f t="shared" si="5"/>
        <x:v>JANEIRO</x:v>
      </x:c>
      <x:c r="D352" s="24" t="s">
        <x:v>89</x:v>
      </x:c>
      <x:c r="E352" s="24" t="s">
        <x:v>323</x:v>
      </x:c>
      <x:c r="F352" s="24" t="s">
        <x:v>44</x:v>
      </x:c>
      <x:c r="G352" s="44">
        <x:v>13027.2</x:v>
      </x:c>
      <x:c r="H352" s="24" t="s">
        <x:v>91</x:v>
      </x:c>
      <x:c r="I352" s="24" t="s">
        <x:v>311</x:v>
      </x:c>
      <x:c r="J352" s="24" t="s">
        <x:v>316</x:v>
      </x:c>
      <x:c r="K352" s="22" t="s">
        <x:v>11</x:v>
      </x:c>
    </x:row>
    <x:row r="353" ht="15" hidden="1" customHeight="1">
      <x:c r="A353" s="24" t="s">
        <x:v>315</x:v>
      </x:c>
      <x:c r="B353" s="25">
        <x:v>46023</x:v>
      </x:c>
      <x:c r="C353" s="45" t="str">
        <x:f t="shared" si="5"/>
        <x:v>JANEIRO</x:v>
      </x:c>
      <x:c r="D353" s="30" t="s">
        <x:v>162</x:v>
      </x:c>
      <x:c r="E353" s="24" t="s">
        <x:v>23</x:v>
      </x:c>
      <x:c r="F353" s="24" t="s">
        <x:v>65</x:v>
      </x:c>
      <x:c r="G353" s="44">
        <x:v>-400</x:v>
      </x:c>
      <x:c r="H353" s="24" t="s">
        <x:v>82</x:v>
      </x:c>
      <x:c r="I353" s="24" t="s">
        <x:v>311</x:v>
      </x:c>
      <x:c r="J353" s="24" t="s">
        <x:v>324</x:v>
      </x:c>
      <x:c r="K353" s="22" t="s">
        <x:v>11</x:v>
      </x:c>
    </x:row>
    <x:row r="354" ht="15" hidden="1" customHeight="1">
      <x:c r="A354" s="24" t="s">
        <x:v>315</x:v>
      </x:c>
      <x:c r="B354" s="25">
        <x:v>46023</x:v>
      </x:c>
      <x:c r="C354" s="45" t="str">
        <x:f t="shared" si="5"/>
        <x:v>JANEIRO</x:v>
      </x:c>
      <x:c r="D354" s="30" t="s">
        <x:v>162</x:v>
      </x:c>
      <x:c r="E354" s="24" t="s">
        <x:v>10</x:v>
      </x:c>
      <x:c r="F354" s="24" t="s">
        <x:v>314</x:v>
      </x:c>
      <x:c r="G354" s="44">
        <x:v>-400</x:v>
      </x:c>
      <x:c r="H354" s="24" t="s">
        <x:v>82</x:v>
      </x:c>
      <x:c r="I354" s="24" t="s">
        <x:v>311</x:v>
      </x:c>
      <x:c r="J354" s="24" t="s">
        <x:v>324</x:v>
      </x:c>
      <x:c r="K354" s="22" t="s">
        <x:v>11</x:v>
      </x:c>
    </x:row>
    <x:row r="355" ht="15" hidden="1" customHeight="1">
      <x:c r="A355" s="24" t="s">
        <x:v>325</x:v>
      </x:c>
      <x:c r="B355" s="25">
        <x:v>45992</x:v>
      </x:c>
      <x:c r="C355" s="45" t="str">
        <x:f t="shared" si="5"/>
        <x:v>DEZEMBRO</x:v>
      </x:c>
      <x:c r="D355" s="30" t="s">
        <x:v>227</x:v>
      </x:c>
      <x:c r="E355" s="24" t="s">
        <x:v>317</x:v>
      </x:c>
      <x:c r="F355" s="24" t="s">
        <x:v>44</x:v>
      </x:c>
      <x:c r="G355" s="44">
        <x:v>-110</x:v>
      </x:c>
      <x:c r="H355" s="24" t="s">
        <x:v>82</x:v>
      </x:c>
      <x:c r="I355" s="24" t="s">
        <x:v>311</x:v>
      </x:c>
      <x:c r="J355" s="24" t="s">
        <x:v>324</x:v>
      </x:c>
      <x:c r="K355" s="22" t="s">
        <x:v>11</x:v>
      </x:c>
    </x:row>
    <x:row r="356" ht="15" hidden="1" customHeight="1">
      <x:c r="A356" s="24" t="s">
        <x:v>326</x:v>
      </x:c>
      <x:c r="B356" s="25">
        <x:v>46023</x:v>
      </x:c>
      <x:c r="C356" s="45" t="str">
        <x:f t="shared" si="5"/>
        <x:v>JANEIRO</x:v>
      </x:c>
      <x:c r="D356" s="24" t="s">
        <x:v>89</x:v>
      </x:c>
      <x:c r="E356" s="24" t="s">
        <x:v>323</x:v>
      </x:c>
      <x:c r="F356" s="24" t="s">
        <x:v>314</x:v>
      </x:c>
      <x:c r="G356" s="44">
        <x:v>4856.2</x:v>
      </x:c>
      <x:c r="H356" s="24" t="s">
        <x:v>91</x:v>
      </x:c>
      <x:c r="I356" s="24" t="s">
        <x:v>311</x:v>
      </x:c>
      <x:c r="J356" s="24" t="s">
        <x:v>324</x:v>
      </x:c>
      <x:c r="K356" s="22" t="s">
        <x:v>11</x:v>
      </x:c>
    </x:row>
    <x:row r="357" ht="15" hidden="1" customHeight="1">
      <x:c r="A357" s="24" t="s">
        <x:v>325</x:v>
      </x:c>
      <x:c r="B357" s="25">
        <x:v>46023</x:v>
      </x:c>
      <x:c r="C357" s="45" t="str">
        <x:f t="shared" si="5"/>
        <x:v>JANEIRO</x:v>
      </x:c>
      <x:c r="D357" s="30" t="s">
        <x:v>227</x:v>
      </x:c>
      <x:c r="E357" s="24" t="s">
        <x:v>10</x:v>
      </x:c>
      <x:c r="F357" s="24" t="s">
        <x:v>314</x:v>
      </x:c>
      <x:c r="G357" s="44">
        <x:v>-100</x:v>
      </x:c>
      <x:c r="H357" s="24" t="s">
        <x:v>82</x:v>
      </x:c>
      <x:c r="I357" s="24" t="s">
        <x:v>311</x:v>
      </x:c>
      <x:c r="J357" s="24" t="s">
        <x:v>324</x:v>
      </x:c>
      <x:c r="K357" s="22" t="s">
        <x:v>11</x:v>
      </x:c>
    </x:row>
    <x:row r="358" ht="15" hidden="1" customHeight="1">
      <x:c r="A358" s="24" t="s">
        <x:v>325</x:v>
      </x:c>
      <x:c r="B358" s="25">
        <x:v>46023</x:v>
      </x:c>
      <x:c r="C358" s="45" t="str">
        <x:f t="shared" si="5"/>
        <x:v>JANEIRO</x:v>
      </x:c>
      <x:c r="D358" s="30" t="s">
        <x:v>227</x:v>
      </x:c>
      <x:c r="E358" s="24" t="s">
        <x:v>10</x:v>
      </x:c>
      <x:c r="F358" s="24" t="s">
        <x:v>314</x:v>
      </x:c>
      <x:c r="G358" s="44">
        <x:v>-150</x:v>
      </x:c>
      <x:c r="H358" s="24" t="s">
        <x:v>82</x:v>
      </x:c>
      <x:c r="I358" s="24" t="s">
        <x:v>311</x:v>
      </x:c>
      <x:c r="J358" s="24" t="s">
        <x:v>324</x:v>
      </x:c>
      <x:c r="K358" s="22" t="s">
        <x:v>11</x:v>
      </x:c>
    </x:row>
    <x:row r="359" ht="15" hidden="1" customHeight="1">
      <x:c r="A359" s="24" t="s">
        <x:v>309</x:v>
      </x:c>
      <x:c r="B359" s="25">
        <x:v>46023</x:v>
      </x:c>
      <x:c r="C359" s="45" t="str">
        <x:f t="shared" si="5"/>
        <x:v>JANEIRO</x:v>
      </x:c>
      <x:c r="D359" s="30" t="s">
        <x:v>227</x:v>
      </x:c>
      <x:c r="E359" s="24" t="s">
        <x:v>327</x:v>
      </x:c>
      <x:c r="F359" s="24" t="s">
        <x:v>314</x:v>
      </x:c>
      <x:c r="G359" s="44">
        <x:v>-2992.748</x:v>
      </x:c>
      <x:c r="H359" s="24" t="s">
        <x:v>82</x:v>
      </x:c>
      <x:c r="I359" s="24" t="s">
        <x:v>311</x:v>
      </x:c>
      <x:c r="J359" s="24" t="s">
        <x:v>328</x:v>
      </x:c>
      <x:c r="K359" s="22" t="s">
        <x:v>11</x:v>
      </x:c>
    </x:row>
    <x:row r="360" ht="15" hidden="1" customHeight="1">
      <x:c r="A360" s="24" t="s">
        <x:v>309</x:v>
      </x:c>
      <x:c r="B360" s="25">
        <x:v>46023</x:v>
      </x:c>
      <x:c r="C360" s="45" t="str">
        <x:f t="shared" si="5"/>
        <x:v>JANEIRO</x:v>
      </x:c>
      <x:c r="D360" s="30" t="s">
        <x:v>227</x:v>
      </x:c>
      <x:c r="E360" s="24" t="s">
        <x:v>327</x:v>
      </x:c>
      <x:c r="F360" s="24" t="s">
        <x:v>44</x:v>
      </x:c>
      <x:c r="G360" s="44">
        <x:v>-2992.748</x:v>
      </x:c>
      <x:c r="H360" s="24" t="s">
        <x:v>82</x:v>
      </x:c>
      <x:c r="I360" s="24" t="s">
        <x:v>311</x:v>
      </x:c>
      <x:c r="J360" s="24" t="s">
        <x:v>328</x:v>
      </x:c>
      <x:c r="K360" s="22" t="s">
        <x:v>11</x:v>
      </x:c>
    </x:row>
    <x:row r="361" ht="15" hidden="1" customHeight="1">
      <x:c r="A361" s="24" t="s">
        <x:v>309</x:v>
      </x:c>
      <x:c r="B361" s="25">
        <x:v>46023</x:v>
      </x:c>
      <x:c r="C361" s="45" t="str">
        <x:f t="shared" si="5"/>
        <x:v>JANEIRO</x:v>
      </x:c>
      <x:c r="D361" s="30" t="s">
        <x:v>227</x:v>
      </x:c>
      <x:c r="E361" s="24" t="s">
        <x:v>327</x:v>
      </x:c>
      <x:c r="F361" s="24" t="s">
        <x:v>59</x:v>
      </x:c>
      <x:c r="G361" s="44">
        <x:v>-2992.748</x:v>
      </x:c>
      <x:c r="H361" s="24" t="s">
        <x:v>82</x:v>
      </x:c>
      <x:c r="I361" s="24" t="s">
        <x:v>311</x:v>
      </x:c>
      <x:c r="J361" s="24" t="s">
        <x:v>328</x:v>
      </x:c>
      <x:c r="K361" s="22" t="s">
        <x:v>11</x:v>
      </x:c>
    </x:row>
    <x:row r="362" ht="15" hidden="1" customHeight="1">
      <x:c r="A362" s="24" t="s">
        <x:v>309</x:v>
      </x:c>
      <x:c r="B362" s="25">
        <x:v>46023</x:v>
      </x:c>
      <x:c r="C362" s="45" t="str">
        <x:f t="shared" si="5"/>
        <x:v>JANEIRO</x:v>
      </x:c>
      <x:c r="D362" s="30" t="s">
        <x:v>227</x:v>
      </x:c>
      <x:c r="E362" s="24" t="s">
        <x:v>327</x:v>
      </x:c>
      <x:c r="F362" s="24" t="s">
        <x:v>66</x:v>
      </x:c>
      <x:c r="G362" s="44">
        <x:v>-2992.748</x:v>
      </x:c>
      <x:c r="H362" s="24" t="s">
        <x:v>82</x:v>
      </x:c>
      <x:c r="I362" s="24" t="s">
        <x:v>311</x:v>
      </x:c>
      <x:c r="J362" s="24" t="s">
        <x:v>328</x:v>
      </x:c>
      <x:c r="K362" s="22" t="s">
        <x:v>11</x:v>
      </x:c>
    </x:row>
    <x:row r="363" ht="15" hidden="1" customHeight="1">
      <x:c r="A363" s="24" t="s">
        <x:v>309</x:v>
      </x:c>
      <x:c r="B363" s="25">
        <x:v>46023</x:v>
      </x:c>
      <x:c r="C363" s="45" t="str">
        <x:f t="shared" si="5"/>
        <x:v>JANEIRO</x:v>
      </x:c>
      <x:c r="D363" s="30" t="s">
        <x:v>227</x:v>
      </x:c>
      <x:c r="E363" s="24" t="s">
        <x:v>327</x:v>
      </x:c>
      <x:c r="F363" s="24" t="s">
        <x:v>65</x:v>
      </x:c>
      <x:c r="G363" s="44">
        <x:v>-2992.748</x:v>
      </x:c>
      <x:c r="H363" s="24" t="s">
        <x:v>82</x:v>
      </x:c>
      <x:c r="I363" s="24" t="s">
        <x:v>311</x:v>
      </x:c>
      <x:c r="J363" s="24" t="s">
        <x:v>328</x:v>
      </x:c>
      <x:c r="K363" s="22" t="s">
        <x:v>11</x:v>
      </x:c>
    </x:row>
    <x:row r="364" ht="15" hidden="1" customHeight="1">
      <x:c r="A364" s="24" t="s">
        <x:v>325</x:v>
      </x:c>
      <x:c r="B364" s="25">
        <x:v>46023</x:v>
      </x:c>
      <x:c r="C364" s="45" t="str">
        <x:f t="shared" si="5"/>
        <x:v>JANEIRO</x:v>
      </x:c>
      <x:c r="D364" s="30" t="s">
        <x:v>227</x:v>
      </x:c>
      <x:c r="E364" s="24" t="s">
        <x:v>10</x:v>
      </x:c>
      <x:c r="F364" s="24" t="s">
        <x:v>314</x:v>
      </x:c>
      <x:c r="G364" s="44">
        <x:v>-138</x:v>
      </x:c>
      <x:c r="H364" s="24" t="s">
        <x:v>82</x:v>
      </x:c>
      <x:c r="I364" s="24" t="s">
        <x:v>311</x:v>
      </x:c>
      <x:c r="J364" s="24" t="s">
        <x:v>328</x:v>
      </x:c>
      <x:c r="K364" s="22" t="s">
        <x:v>11</x:v>
      </x:c>
    </x:row>
    <x:row r="365" ht="15" hidden="1" customHeight="1">
      <x:c r="A365" s="24" t="s">
        <x:v>315</x:v>
      </x:c>
      <x:c r="B365" s="25">
        <x:v>46023</x:v>
      </x:c>
      <x:c r="C365" s="45" t="str">
        <x:f t="shared" si="5"/>
        <x:v>JANEIRO</x:v>
      </x:c>
      <x:c r="D365" s="30" t="s">
        <x:v>162</x:v>
      </x:c>
      <x:c r="E365" s="24" t="s">
        <x:v>13</x:v>
      </x:c>
      <x:c r="F365" s="24" t="s">
        <x:v>59</x:v>
      </x:c>
      <x:c r="G365" s="44">
        <x:v>-400</x:v>
      </x:c>
      <x:c r="H365" s="24" t="s">
        <x:v>82</x:v>
      </x:c>
      <x:c r="I365" s="24" t="s">
        <x:v>311</x:v>
      </x:c>
      <x:c r="J365" s="24" t="s">
        <x:v>328</x:v>
      </x:c>
      <x:c r="K365" s="22" t="s">
        <x:v>11</x:v>
      </x:c>
    </x:row>
    <x:row r="366" ht="15" hidden="1" customHeight="1">
      <x:c r="A366" s="24" t="s">
        <x:v>329</x:v>
      </x:c>
      <x:c r="B366" s="25">
        <x:v>46023</x:v>
      </x:c>
      <x:c r="C366" s="45" t="str">
        <x:f t="shared" si="5"/>
        <x:v>JANEIRO</x:v>
      </x:c>
      <x:c r="D366" s="24" t="s">
        <x:v>89</x:v>
      </x:c>
      <x:c r="E366" s="24" t="s">
        <x:v>330</x:v>
      </x:c>
      <x:c r="F366" s="24" t="s">
        <x:v>59</x:v>
      </x:c>
      <x:c r="G366" s="44">
        <x:v>11237.9</x:v>
      </x:c>
      <x:c r="H366" s="24" t="s">
        <x:v>91</x:v>
      </x:c>
      <x:c r="I366" s="24" t="s">
        <x:v>311</x:v>
      </x:c>
      <x:c r="J366" s="24" t="s">
        <x:v>328</x:v>
      </x:c>
      <x:c r="K366" s="22" t="s">
        <x:v>11</x:v>
      </x:c>
    </x:row>
    <x:row r="367" ht="15" hidden="1" customHeight="1">
      <x:c r="A367" s="24" t="s">
        <x:v>325</x:v>
      </x:c>
      <x:c r="B367" s="25">
        <x:v>46023</x:v>
      </x:c>
      <x:c r="C367" s="45" t="str">
        <x:f t="shared" si="5"/>
        <x:v>JANEIRO</x:v>
      </x:c>
      <x:c r="D367" s="30" t="s">
        <x:v>227</x:v>
      </x:c>
      <x:c r="E367" s="24" t="s">
        <x:v>331</x:v>
      </x:c>
      <x:c r="F367" s="24" t="s">
        <x:v>314</x:v>
      </x:c>
      <x:c r="G367" s="44">
        <x:v>-1000</x:v>
      </x:c>
      <x:c r="H367" s="24" t="s">
        <x:v>82</x:v>
      </x:c>
      <x:c r="I367" s="24" t="s">
        <x:v>311</x:v>
      </x:c>
      <x:c r="J367" s="24" t="s">
        <x:v>328</x:v>
      </x:c>
      <x:c r="K367" s="22" t="s">
        <x:v>11</x:v>
      </x:c>
    </x:row>
    <x:row r="368" ht="15" hidden="1" customHeight="1">
      <x:c r="A368" s="24" t="s">
        <x:v>332</x:v>
      </x:c>
      <x:c r="B368" s="25">
        <x:v>46023</x:v>
      </x:c>
      <x:c r="C368" s="45" t="str">
        <x:f t="shared" si="5"/>
        <x:v>JANEIRO</x:v>
      </x:c>
      <x:c r="D368" s="30" t="s">
        <x:v>165</x:v>
      </x:c>
      <x:c r="E368" s="24" t="s">
        <x:v>10</x:v>
      </x:c>
      <x:c r="F368" s="24" t="s">
        <x:v>314</x:v>
      </x:c>
      <x:c r="G368" s="44">
        <x:v>-3843.79</x:v>
      </x:c>
      <x:c r="H368" s="24" t="s">
        <x:v>82</x:v>
      </x:c>
      <x:c r="I368" s="24" t="s">
        <x:v>311</x:v>
      </x:c>
      <x:c r="J368" s="24" t="s">
        <x:v>328</x:v>
      </x:c>
      <x:c r="K368" s="22" t="s">
        <x:v>11</x:v>
      </x:c>
    </x:row>
    <x:row r="369" ht="15" hidden="1" customHeight="1">
      <x:c r="A369" s="24" t="s">
        <x:v>332</x:v>
      </x:c>
      <x:c r="B369" s="25">
        <x:v>46023</x:v>
      </x:c>
      <x:c r="C369" s="45" t="str">
        <x:f t="shared" si="5"/>
        <x:v>JANEIRO</x:v>
      </x:c>
      <x:c r="D369" s="30" t="s">
        <x:v>165</x:v>
      </x:c>
      <x:c r="E369" s="24" t="s">
        <x:v>317</x:v>
      </x:c>
      <x:c r="F369" s="24" t="s">
        <x:v>44</x:v>
      </x:c>
      <x:c r="G369" s="44">
        <x:v>-3486.78</x:v>
      </x:c>
      <x:c r="H369" s="24" t="s">
        <x:v>82</x:v>
      </x:c>
      <x:c r="I369" s="24" t="s">
        <x:v>311</x:v>
      </x:c>
      <x:c r="J369" s="24" t="s">
        <x:v>328</x:v>
      </x:c>
      <x:c r="K369" s="22" t="s">
        <x:v>11</x:v>
      </x:c>
    </x:row>
    <x:row r="370" ht="15" hidden="1" customHeight="1">
      <x:c r="A370" s="24" t="s">
        <x:v>332</x:v>
      </x:c>
      <x:c r="B370" s="25">
        <x:v>46023</x:v>
      </x:c>
      <x:c r="C370" s="45" t="str">
        <x:f t="shared" si="5"/>
        <x:v>JANEIRO</x:v>
      </x:c>
      <x:c r="D370" s="30" t="s">
        <x:v>165</x:v>
      </x:c>
      <x:c r="E370" s="24" t="s">
        <x:v>24</x:v>
      </x:c>
      <x:c r="F370" s="24" t="s">
        <x:v>66</x:v>
      </x:c>
      <x:c r="G370" s="44">
        <x:v>-3843.79</x:v>
      </x:c>
      <x:c r="H370" s="24" t="s">
        <x:v>82</x:v>
      </x:c>
      <x:c r="I370" s="24" t="s">
        <x:v>311</x:v>
      </x:c>
      <x:c r="J370" s="24" t="s">
        <x:v>328</x:v>
      </x:c>
      <x:c r="K370" s="22" t="s">
        <x:v>11</x:v>
      </x:c>
    </x:row>
    <x:row r="371" ht="15" hidden="1" customHeight="1">
      <x:c r="A371" s="24" t="s">
        <x:v>332</x:v>
      </x:c>
      <x:c r="B371" s="25">
        <x:v>46023</x:v>
      </x:c>
      <x:c r="C371" s="45" t="str">
        <x:f t="shared" si="5"/>
        <x:v>JANEIRO</x:v>
      </x:c>
      <x:c r="D371" s="30" t="s">
        <x:v>165</x:v>
      </x:c>
      <x:c r="E371" s="24" t="s">
        <x:v>23</x:v>
      </x:c>
      <x:c r="F371" s="24" t="s">
        <x:v>65</x:v>
      </x:c>
      <x:c r="G371" s="44">
        <x:v>-3843.79</x:v>
      </x:c>
      <x:c r="H371" s="24" t="s">
        <x:v>82</x:v>
      </x:c>
      <x:c r="I371" s="24" t="s">
        <x:v>311</x:v>
      </x:c>
      <x:c r="J371" s="24" t="s">
        <x:v>328</x:v>
      </x:c>
      <x:c r="K371" s="22" t="s">
        <x:v>11</x:v>
      </x:c>
    </x:row>
    <x:row r="372" ht="15" hidden="1" customHeight="1">
      <x:c r="A372" s="24" t="s">
        <x:v>112</x:v>
      </x:c>
      <x:c r="B372" s="25">
        <x:v>46023</x:v>
      </x:c>
      <x:c r="C372" s="45" t="str">
        <x:f t="shared" si="5"/>
        <x:v>JANEIRO</x:v>
      </x:c>
      <x:c r="D372" s="30" t="s">
        <x:v>112</x:v>
      </x:c>
      <x:c r="E372" s="24" t="s">
        <x:v>333</x:v>
      </x:c>
      <x:c r="F372" s="24" t="s">
        <x:v>314</x:v>
      </x:c>
      <x:c r="G372" s="44">
        <x:v>-28000</x:v>
      </x:c>
      <x:c r="H372" s="24" t="s">
        <x:v>82</x:v>
      </x:c>
      <x:c r="I372" s="24" t="s">
        <x:v>311</x:v>
      </x:c>
      <x:c r="J372" s="24" t="s">
        <x:v>328</x:v>
      </x:c>
      <x:c r="K372" s="22" t="s">
        <x:v>11</x:v>
      </x:c>
    </x:row>
    <x:row r="373" ht="15" hidden="1" customHeight="1">
      <x:c r="A373" s="24" t="s">
        <x:v>325</x:v>
      </x:c>
      <x:c r="B373" s="25">
        <x:v>46023</x:v>
      </x:c>
      <x:c r="C373" s="45" t="str">
        <x:f t="shared" si="5"/>
        <x:v>JANEIRO</x:v>
      </x:c>
      <x:c r="D373" s="30" t="s">
        <x:v>85</x:v>
      </x:c>
      <x:c r="E373" s="24" t="s">
        <x:v>334</x:v>
      </x:c>
      <x:c r="F373" s="24" t="s">
        <x:v>65</x:v>
      </x:c>
      <x:c r="G373" s="44">
        <x:v>-4000</x:v>
      </x:c>
      <x:c r="H373" s="24" t="s">
        <x:v>82</x:v>
      </x:c>
      <x:c r="I373" s="24" t="s">
        <x:v>311</x:v>
      </x:c>
      <x:c r="J373" s="24" t="s">
        <x:v>328</x:v>
      </x:c>
      <x:c r="K373" s="22" t="s">
        <x:v>11</x:v>
      </x:c>
    </x:row>
    <x:row r="374" ht="15" hidden="1" customHeight="1">
      <x:c r="A374" s="24" t="s">
        <x:v>335</x:v>
      </x:c>
      <x:c r="B374" s="25">
        <x:v>46023</x:v>
      </x:c>
      <x:c r="C374" s="45" t="str">
        <x:f t="shared" si="5"/>
        <x:v>JANEIRO</x:v>
      </x:c>
      <x:c r="D374" s="30" t="s">
        <x:v>132</x:v>
      </x:c>
      <x:c r="E374" s="24" t="s">
        <x:v>336</x:v>
      </x:c>
      <x:c r="F374" s="24" t="s">
        <x:v>66</x:v>
      </x:c>
      <x:c r="G374" s="44">
        <x:v>-1172.08</x:v>
      </x:c>
      <x:c r="H374" s="24" t="s">
        <x:v>82</x:v>
      </x:c>
      <x:c r="I374" s="24" t="s">
        <x:v>311</x:v>
      </x:c>
      <x:c r="J374" s="24" t="s">
        <x:v>328</x:v>
      </x:c>
      <x:c r="K374" s="22" t="s">
        <x:v>11</x:v>
      </x:c>
    </x:row>
    <x:row r="375" ht="15" hidden="1" customHeight="1">
      <x:c r="A375" s="24" t="s">
        <x:v>337</x:v>
      </x:c>
      <x:c r="B375" s="25">
        <x:v>46023</x:v>
      </x:c>
      <x:c r="C375" s="45" t="str">
        <x:f t="shared" si="5"/>
        <x:v>JANEIRO</x:v>
      </x:c>
      <x:c r="D375" s="30" t="s">
        <x:v>227</x:v>
      </x:c>
      <x:c r="E375" s="24" t="s">
        <x:v>338</x:v>
      </x:c>
      <x:c r="F375" s="24" t="s">
        <x:v>44</x:v>
      </x:c>
      <x:c r="G375" s="44">
        <x:v>-1388.66</x:v>
      </x:c>
      <x:c r="H375" s="24" t="s">
        <x:v>82</x:v>
      </x:c>
      <x:c r="I375" s="24" t="s">
        <x:v>311</x:v>
      </x:c>
      <x:c r="J375" s="24" t="s">
        <x:v>328</x:v>
      </x:c>
      <x:c r="K375" s="22" t="s">
        <x:v>11</x:v>
      </x:c>
    </x:row>
    <x:row r="376" ht="15" hidden="1" customHeight="1">
      <x:c r="A376" s="24" t="s">
        <x:v>325</x:v>
      </x:c>
      <x:c r="B376" s="25">
        <x:v>46023</x:v>
      </x:c>
      <x:c r="C376" s="45" t="str">
        <x:f t="shared" si="5"/>
        <x:v>JANEIRO</x:v>
      </x:c>
      <x:c r="D376" s="30" t="s">
        <x:v>227</x:v>
      </x:c>
      <x:c r="E376" s="24" t="s">
        <x:v>339</x:v>
      </x:c>
      <x:c r="F376" s="24" t="s">
        <x:v>44</x:v>
      </x:c>
      <x:c r="G376" s="44">
        <x:v>-198.98500000000001</x:v>
      </x:c>
      <x:c r="H376" s="24" t="s">
        <x:v>82</x:v>
      </x:c>
      <x:c r="I376" s="24" t="s">
        <x:v>311</x:v>
      </x:c>
      <x:c r="J376" s="24" t="s">
        <x:v>340</x:v>
      </x:c>
      <x:c r="K376" s="22" t="s">
        <x:v>11</x:v>
      </x:c>
    </x:row>
    <x:row r="377" ht="15" hidden="1" customHeight="1">
      <x:c r="A377" s="24" t="s">
        <x:v>325</x:v>
      </x:c>
      <x:c r="B377" s="25">
        <x:v>46023</x:v>
      </x:c>
      <x:c r="C377" s="45" t="str">
        <x:f t="shared" si="5"/>
        <x:v>JANEIRO</x:v>
      </x:c>
      <x:c r="D377" s="30" t="s">
        <x:v>227</x:v>
      </x:c>
      <x:c r="E377" s="24" t="s">
        <x:v>339</x:v>
      </x:c>
      <x:c r="F377" s="24" t="s">
        <x:v>59</x:v>
      </x:c>
      <x:c r="G377" s="44">
        <x:v>-198.98500000000001</x:v>
      </x:c>
      <x:c r="H377" s="24" t="s">
        <x:v>82</x:v>
      </x:c>
      <x:c r="I377" s="24" t="s">
        <x:v>311</x:v>
      </x:c>
      <x:c r="J377" s="24" t="s">
        <x:v>340</x:v>
      </x:c>
      <x:c r="K377" s="22" t="s">
        <x:v>11</x:v>
      </x:c>
    </x:row>
    <x:row r="378" ht="15" hidden="1" customHeight="1">
      <x:c r="A378" s="24" t="s">
        <x:v>325</x:v>
      </x:c>
      <x:c r="B378" s="25">
        <x:v>46023</x:v>
      </x:c>
      <x:c r="C378" s="45" t="str">
        <x:f t="shared" si="5"/>
        <x:v>JANEIRO</x:v>
      </x:c>
      <x:c r="D378" s="30" t="s">
        <x:v>227</x:v>
      </x:c>
      <x:c r="E378" s="24" t="s">
        <x:v>339</x:v>
      </x:c>
      <x:c r="F378" s="24" t="s">
        <x:v>65</x:v>
      </x:c>
      <x:c r="G378" s="44">
        <x:v>-198.98500000000001</x:v>
      </x:c>
      <x:c r="H378" s="24" t="s">
        <x:v>82</x:v>
      </x:c>
      <x:c r="I378" s="24" t="s">
        <x:v>311</x:v>
      </x:c>
      <x:c r="J378" s="24" t="s">
        <x:v>340</x:v>
      </x:c>
      <x:c r="K378" s="22" t="s">
        <x:v>11</x:v>
      </x:c>
    </x:row>
    <x:row r="379" ht="15" hidden="1" customHeight="1">
      <x:c r="A379" s="24" t="s">
        <x:v>325</x:v>
      </x:c>
      <x:c r="B379" s="25">
        <x:v>46023</x:v>
      </x:c>
      <x:c r="C379" s="45" t="str">
        <x:f t="shared" si="5"/>
        <x:v>JANEIRO</x:v>
      </x:c>
      <x:c r="D379" s="30" t="s">
        <x:v>227</x:v>
      </x:c>
      <x:c r="E379" s="24" t="s">
        <x:v>339</x:v>
      </x:c>
      <x:c r="F379" s="24" t="s">
        <x:v>66</x:v>
      </x:c>
      <x:c r="G379" s="44">
        <x:v>-198.98500000000001</x:v>
      </x:c>
      <x:c r="H379" s="24" t="s">
        <x:v>82</x:v>
      </x:c>
      <x:c r="I379" s="24" t="s">
        <x:v>311</x:v>
      </x:c>
      <x:c r="J379" s="24" t="s">
        <x:v>340</x:v>
      </x:c>
      <x:c r="K379" s="22" t="s">
        <x:v>11</x:v>
      </x:c>
    </x:row>
    <x:row r="380" ht="15" hidden="1" customHeight="1">
      <x:c r="A380" s="24" t="s">
        <x:v>325</x:v>
      </x:c>
      <x:c r="B380" s="25">
        <x:v>46023</x:v>
      </x:c>
      <x:c r="C380" s="45" t="str">
        <x:f t="shared" si="5"/>
        <x:v>JANEIRO</x:v>
      </x:c>
      <x:c r="D380" s="30" t="s">
        <x:v>227</x:v>
      </x:c>
      <x:c r="E380" s="24" t="s">
        <x:v>339</x:v>
      </x:c>
      <x:c r="F380" s="24" t="s">
        <x:v>44</x:v>
      </x:c>
      <x:c r="G380" s="44">
        <x:v>-198.98500000000001</x:v>
      </x:c>
      <x:c r="H380" s="24" t="s">
        <x:v>82</x:v>
      </x:c>
      <x:c r="I380" s="24" t="s">
        <x:v>311</x:v>
      </x:c>
      <x:c r="J380" s="24" t="s">
        <x:v>340</x:v>
      </x:c>
      <x:c r="K380" s="22" t="s">
        <x:v>11</x:v>
      </x:c>
    </x:row>
    <x:row r="381" ht="15" hidden="1" customHeight="1">
      <x:c r="A381" s="24" t="s">
        <x:v>325</x:v>
      </x:c>
      <x:c r="B381" s="25">
        <x:v>46023</x:v>
      </x:c>
      <x:c r="C381" s="45" t="str">
        <x:f t="shared" si="5"/>
        <x:v>JANEIRO</x:v>
      </x:c>
      <x:c r="D381" s="30" t="s">
        <x:v>227</x:v>
      </x:c>
      <x:c r="E381" s="24" t="s">
        <x:v>339</x:v>
      </x:c>
      <x:c r="F381" s="24" t="s">
        <x:v>59</x:v>
      </x:c>
      <x:c r="G381" s="44">
        <x:v>-198.98500000000001</x:v>
      </x:c>
      <x:c r="H381" s="24" t="s">
        <x:v>82</x:v>
      </x:c>
      <x:c r="I381" s="24" t="s">
        <x:v>311</x:v>
      </x:c>
      <x:c r="J381" s="24" t="s">
        <x:v>340</x:v>
      </x:c>
      <x:c r="K381" s="22" t="s">
        <x:v>11</x:v>
      </x:c>
    </x:row>
    <x:row r="382" ht="15" hidden="1" customHeight="1">
      <x:c r="A382" s="24" t="s">
        <x:v>325</x:v>
      </x:c>
      <x:c r="B382" s="25">
        <x:v>46023</x:v>
      </x:c>
      <x:c r="C382" s="45" t="str">
        <x:f t="shared" si="5"/>
        <x:v>JANEIRO</x:v>
      </x:c>
      <x:c r="D382" s="30" t="s">
        <x:v>227</x:v>
      </x:c>
      <x:c r="E382" s="24" t="s">
        <x:v>339</x:v>
      </x:c>
      <x:c r="F382" s="24" t="s">
        <x:v>65</x:v>
      </x:c>
      <x:c r="G382" s="44">
        <x:v>-198.98500000000001</x:v>
      </x:c>
      <x:c r="H382" s="24" t="s">
        <x:v>82</x:v>
      </x:c>
      <x:c r="I382" s="24" t="s">
        <x:v>311</x:v>
      </x:c>
      <x:c r="J382" s="24" t="s">
        <x:v>340</x:v>
      </x:c>
      <x:c r="K382" s="22" t="s">
        <x:v>11</x:v>
      </x:c>
    </x:row>
    <x:row r="383" ht="15" hidden="1" customHeight="1">
      <x:c r="A383" s="24" t="s">
        <x:v>325</x:v>
      </x:c>
      <x:c r="B383" s="25">
        <x:v>46023</x:v>
      </x:c>
      <x:c r="C383" s="45" t="str">
        <x:f t="shared" si="5"/>
        <x:v>JANEIRO</x:v>
      </x:c>
      <x:c r="D383" s="30" t="s">
        <x:v>227</x:v>
      </x:c>
      <x:c r="E383" s="24" t="s">
        <x:v>339</x:v>
      </x:c>
      <x:c r="F383" s="24" t="s">
        <x:v>66</x:v>
      </x:c>
      <x:c r="G383" s="44">
        <x:v>-198.98500000000001</x:v>
      </x:c>
      <x:c r="H383" s="24" t="s">
        <x:v>82</x:v>
      </x:c>
      <x:c r="I383" s="24" t="s">
        <x:v>311</x:v>
      </x:c>
      <x:c r="J383" s="24" t="s">
        <x:v>340</x:v>
      </x:c>
      <x:c r="K383" s="22" t="s">
        <x:v>11</x:v>
      </x:c>
    </x:row>
    <x:row r="384" ht="15" hidden="1" customHeight="1">
      <x:c r="A384" s="30" t="s">
        <x:v>112</x:v>
      </x:c>
      <x:c r="B384" s="25">
        <x:v>46023</x:v>
      </x:c>
      <x:c r="C384" s="45" t="str">
        <x:f t="shared" si="5"/>
        <x:v>JANEIRO</x:v>
      </x:c>
      <x:c r="D384" s="30" t="s">
        <x:v>112</x:v>
      </x:c>
      <x:c r="E384" s="24" t="s">
        <x:v>341</x:v>
      </x:c>
      <x:c r="F384" s="24" t="s">
        <x:v>342</x:v>
      </x:c>
      <x:c r="G384" s="44">
        <x:v>-3839.89</x:v>
      </x:c>
      <x:c r="H384" s="24" t="s">
        <x:v>82</x:v>
      </x:c>
      <x:c r="I384" s="24" t="s">
        <x:v>311</x:v>
      </x:c>
      <x:c r="J384" s="24" t="s">
        <x:v>340</x:v>
      </x:c>
      <x:c r="K384" s="22" t="s">
        <x:v>11</x:v>
      </x:c>
    </x:row>
    <x:row r="385" ht="15" hidden="1" customHeight="1">
      <x:c r="A385" s="24" t="s">
        <x:v>315</x:v>
      </x:c>
      <x:c r="B385" s="25">
        <x:v>46023</x:v>
      </x:c>
      <x:c r="C385" s="45" t="str">
        <x:f t="shared" si="5"/>
        <x:v>JANEIRO</x:v>
      </x:c>
      <x:c r="D385" s="30" t="s">
        <x:v>162</x:v>
      </x:c>
      <x:c r="E385" s="24" t="s">
        <x:v>24</x:v>
      </x:c>
      <x:c r="F385" s="24" t="s">
        <x:v>66</x:v>
      </x:c>
      <x:c r="G385" s="44">
        <x:v>-400</x:v>
      </x:c>
      <x:c r="H385" s="24" t="s">
        <x:v>82</x:v>
      </x:c>
      <x:c r="I385" s="24" t="s">
        <x:v>311</x:v>
      </x:c>
      <x:c r="J385" s="24" t="s">
        <x:v>340</x:v>
      </x:c>
      <x:c r="K385" s="22" t="s">
        <x:v>11</x:v>
      </x:c>
    </x:row>
    <x:row r="386" ht="15" hidden="1" customHeight="1">
      <x:c r="A386" s="24" t="s">
        <x:v>315</x:v>
      </x:c>
      <x:c r="B386" s="25">
        <x:v>46023</x:v>
      </x:c>
      <x:c r="C386" s="45" t="str">
        <x:f t="shared" ref="C386:C449" si="6">UPPER(TEXT(B386,"MMMM"))</x:f>
        <x:v>JANUARY</x:v>
      </x:c>
      <x:c r="D386" s="30" t="s">
        <x:v>162</x:v>
      </x:c>
      <x:c r="E386" s="24" t="s">
        <x:v>317</x:v>
      </x:c>
      <x:c r="F386" s="24" t="s">
        <x:v>44</x:v>
      </x:c>
      <x:c r="G386" s="44">
        <x:v>-400</x:v>
      </x:c>
      <x:c r="H386" s="24" t="s">
        <x:v>82</x:v>
      </x:c>
      <x:c r="I386" s="24" t="s">
        <x:v>311</x:v>
      </x:c>
      <x:c r="J386" s="24" t="s">
        <x:v>340</x:v>
      </x:c>
      <x:c r="K386" s="22" t="s">
        <x:v>11</x:v>
      </x:c>
    </x:row>
    <x:row r="387" ht="15" hidden="1" customHeight="1">
      <x:c r="A387" s="24" t="s">
        <x:v>343</x:v>
      </x:c>
      <x:c r="B387" s="25">
        <x:v>46023</x:v>
      </x:c>
      <x:c r="C387" s="45" t="str">
        <x:f t="shared" si="6"/>
        <x:v>JANEIRO</x:v>
      </x:c>
      <x:c r="D387" s="24" t="s">
        <x:v>89</x:v>
      </x:c>
      <x:c r="E387" s="24" t="s">
        <x:v>344</x:v>
      </x:c>
      <x:c r="F387" s="24" t="s">
        <x:v>66</x:v>
      </x:c>
      <x:c r="G387" s="44">
        <x:v>9788.2000000000007</x:v>
      </x:c>
      <x:c r="H387" s="24" t="s">
        <x:v>91</x:v>
      </x:c>
      <x:c r="I387" s="24" t="s">
        <x:v>311</x:v>
      </x:c>
      <x:c r="J387" s="24" t="s">
        <x:v>340</x:v>
      </x:c>
      <x:c r="K387" s="22" t="s">
        <x:v>11</x:v>
      </x:c>
    </x:row>
    <x:row r="388" ht="15" hidden="1" customHeight="1">
      <x:c r="A388" s="24" t="s">
        <x:v>345</x:v>
      </x:c>
      <x:c r="B388" s="25">
        <x:v>46023</x:v>
      </x:c>
      <x:c r="C388" s="45" t="str">
        <x:f t="shared" si="6"/>
        <x:v>JANEIRO</x:v>
      </x:c>
      <x:c r="D388" s="24" t="s">
        <x:v>89</x:v>
      </x:c>
      <x:c r="E388" s="24" t="s">
        <x:v>346</x:v>
      </x:c>
      <x:c r="F388" s="24" t="s">
        <x:v>44</x:v>
      </x:c>
      <x:c r="G388" s="44">
        <x:v>11041.7</x:v>
      </x:c>
      <x:c r="H388" s="24" t="s">
        <x:v>91</x:v>
      </x:c>
      <x:c r="I388" s="24" t="s">
        <x:v>311</x:v>
      </x:c>
      <x:c r="J388" s="24" t="s">
        <x:v>340</x:v>
      </x:c>
      <x:c r="K388" s="22" t="s">
        <x:v>11</x:v>
      </x:c>
    </x:row>
    <x:row r="389" ht="15" hidden="1" customHeight="1">
      <x:c r="A389" s="24" t="s">
        <x:v>115</x:v>
      </x:c>
      <x:c r="B389" s="25">
        <x:v>46023</x:v>
      </x:c>
      <x:c r="C389" s="45" t="str">
        <x:f t="shared" si="6"/>
        <x:v>JANEIRO</x:v>
      </x:c>
      <x:c r="D389" s="24" t="s">
        <x:v>116</x:v>
      </x:c>
      <x:c r="E389" s="24" t="s">
        <x:v>347</x:v>
      </x:c>
      <x:c r="F389" s="24" t="s">
        <x:v>65</x:v>
      </x:c>
      <x:c r="G389" s="44">
        <x:v>-2135.5500000000002</x:v>
      </x:c>
      <x:c r="H389" s="24" t="s">
        <x:v>82</x:v>
      </x:c>
      <x:c r="I389" s="24" t="s">
        <x:v>311</x:v>
      </x:c>
      <x:c r="J389" s="24" t="s">
        <x:v>348</x:v>
      </x:c>
      <x:c r="K389" s="22" t="s">
        <x:v>11</x:v>
      </x:c>
    </x:row>
    <x:row r="390" ht="15" hidden="1" customHeight="1">
      <x:c r="A390" s="24" t="s">
        <x:v>115</x:v>
      </x:c>
      <x:c r="B390" s="25">
        <x:v>46023</x:v>
      </x:c>
      <x:c r="C390" s="45" t="str">
        <x:f t="shared" si="6"/>
        <x:v>JANEIRO</x:v>
      </x:c>
      <x:c r="D390" s="24" t="s">
        <x:v>116</x:v>
      </x:c>
      <x:c r="E390" s="24" t="s">
        <x:v>349</x:v>
      </x:c>
      <x:c r="F390" s="24" t="s">
        <x:v>44</x:v>
      </x:c>
      <x:c r="G390" s="44">
        <x:v>-6116.5</x:v>
      </x:c>
      <x:c r="H390" s="24" t="s">
        <x:v>82</x:v>
      </x:c>
      <x:c r="I390" s="24" t="s">
        <x:v>311</x:v>
      </x:c>
      <x:c r="J390" s="24" t="s">
        <x:v>348</x:v>
      </x:c>
      <x:c r="K390" s="22" t="s">
        <x:v>11</x:v>
      </x:c>
    </x:row>
    <x:row r="391" ht="15" hidden="1" customHeight="1">
      <x:c r="A391" s="24" t="s">
        <x:v>115</x:v>
      </x:c>
      <x:c r="B391" s="25">
        <x:v>46023</x:v>
      </x:c>
      <x:c r="C391" s="45" t="str">
        <x:f t="shared" si="6"/>
        <x:v>JANEIRO</x:v>
      </x:c>
      <x:c r="D391" s="24" t="s">
        <x:v>116</x:v>
      </x:c>
      <x:c r="E391" s="24" t="s">
        <x:v>349</x:v>
      </x:c>
      <x:c r="F391" s="24" t="s">
        <x:v>59</x:v>
      </x:c>
      <x:c r="G391" s="44">
        <x:v>-10285.73</x:v>
      </x:c>
      <x:c r="H391" s="24" t="s">
        <x:v>82</x:v>
      </x:c>
      <x:c r="I391" s="24" t="s">
        <x:v>311</x:v>
      </x:c>
      <x:c r="J391" s="24" t="s">
        <x:v>348</x:v>
      </x:c>
      <x:c r="K391" s="22" t="s">
        <x:v>11</x:v>
      </x:c>
    </x:row>
    <x:row r="392" ht="15" hidden="1" customHeight="1">
      <x:c r="A392" s="24" t="s">
        <x:v>315</x:v>
      </x:c>
      <x:c r="B392" s="25">
        <x:v>46023</x:v>
      </x:c>
      <x:c r="C392" s="45" t="str">
        <x:f t="shared" si="6"/>
        <x:v>JANEIRO</x:v>
      </x:c>
      <x:c r="D392" s="30" t="s">
        <x:v>162</x:v>
      </x:c>
      <x:c r="E392" s="24" t="s">
        <x:v>23</x:v>
      </x:c>
      <x:c r="F392" s="24" t="s">
        <x:v>65</x:v>
      </x:c>
      <x:c r="G392" s="44">
        <x:v>-400</x:v>
      </x:c>
      <x:c r="H392" s="24" t="s">
        <x:v>82</x:v>
      </x:c>
      <x:c r="I392" s="24" t="s">
        <x:v>311</x:v>
      </x:c>
      <x:c r="J392" s="24" t="s">
        <x:v>348</x:v>
      </x:c>
      <x:c r="K392" s="22" t="s">
        <x:v>11</x:v>
      </x:c>
    </x:row>
    <x:row r="393" ht="15" hidden="1" customHeight="1">
      <x:c r="A393" s="24" t="s">
        <x:v>325</x:v>
      </x:c>
      <x:c r="B393" s="25">
        <x:v>46023</x:v>
      </x:c>
      <x:c r="C393" s="45" t="str">
        <x:f t="shared" si="6"/>
        <x:v>JANEIRO</x:v>
      </x:c>
      <x:c r="D393" s="30" t="s">
        <x:v>227</x:v>
      </x:c>
      <x:c r="E393" s="24" t="s">
        <x:v>23</x:v>
      </x:c>
      <x:c r="F393" s="24" t="s">
        <x:v>65</x:v>
      </x:c>
      <x:c r="G393" s="44">
        <x:v>-180</x:v>
      </x:c>
      <x:c r="H393" s="24" t="s">
        <x:v>82</x:v>
      </x:c>
      <x:c r="I393" s="24" t="s">
        <x:v>311</x:v>
      </x:c>
      <x:c r="J393" s="24" t="s">
        <x:v>348</x:v>
      </x:c>
      <x:c r="K393" s="22" t="s">
        <x:v>11</x:v>
      </x:c>
    </x:row>
    <x:row r="394" ht="15" hidden="1" customHeight="1">
      <x:c r="A394" s="24" t="s">
        <x:v>325</x:v>
      </x:c>
      <x:c r="B394" s="25">
        <x:v>46023</x:v>
      </x:c>
      <x:c r="C394" s="45" t="str">
        <x:f t="shared" si="6"/>
        <x:v>JANEIRO</x:v>
      </x:c>
      <x:c r="D394" s="30" t="s">
        <x:v>227</x:v>
      </x:c>
      <x:c r="E394" s="24" t="s">
        <x:v>23</x:v>
      </x:c>
      <x:c r="F394" s="24" t="s">
        <x:v>65</x:v>
      </x:c>
      <x:c r="G394" s="44">
        <x:v>-240</x:v>
      </x:c>
      <x:c r="H394" s="24" t="s">
        <x:v>82</x:v>
      </x:c>
      <x:c r="I394" s="24" t="s">
        <x:v>311</x:v>
      </x:c>
      <x:c r="J394" s="24" t="s">
        <x:v>348</x:v>
      </x:c>
      <x:c r="K394" s="22" t="s">
        <x:v>11</x:v>
      </x:c>
    </x:row>
    <x:row r="395" ht="15" hidden="1" customHeight="1">
      <x:c r="A395" s="24" t="s">
        <x:v>315</x:v>
      </x:c>
      <x:c r="B395" s="25">
        <x:v>46023</x:v>
      </x:c>
      <x:c r="C395" s="45" t="str">
        <x:f t="shared" si="6"/>
        <x:v>JANEIRO</x:v>
      </x:c>
      <x:c r="D395" s="30" t="s">
        <x:v>162</x:v>
      </x:c>
      <x:c r="E395" s="24" t="s">
        <x:v>10</x:v>
      </x:c>
      <x:c r="F395" s="24" t="s">
        <x:v>314</x:v>
      </x:c>
      <x:c r="G395" s="44">
        <x:v>-400</x:v>
      </x:c>
      <x:c r="H395" s="24" t="s">
        <x:v>82</x:v>
      </x:c>
      <x:c r="I395" s="24" t="s">
        <x:v>311</x:v>
      </x:c>
      <x:c r="J395" s="24" t="s">
        <x:v>348</x:v>
      </x:c>
      <x:c r="K395" s="22" t="s">
        <x:v>11</x:v>
      </x:c>
    </x:row>
    <x:row r="396" ht="15" hidden="1" customHeight="1">
      <x:c r="A396" s="24" t="s">
        <x:v>350</x:v>
      </x:c>
      <x:c r="B396" s="25">
        <x:v>46023</x:v>
      </x:c>
      <x:c r="C396" s="45" t="str">
        <x:f t="shared" si="6"/>
        <x:v>JANEIRO</x:v>
      </x:c>
      <x:c r="D396" s="24" t="s">
        <x:v>89</x:v>
      </x:c>
      <x:c r="E396" s="24" t="s">
        <x:v>351</x:v>
      </x:c>
      <x:c r="F396" s="24" t="s">
        <x:v>65</x:v>
      </x:c>
      <x:c r="G396" s="44">
        <x:v>9842.7000000000007</x:v>
      </x:c>
      <x:c r="H396" s="24" t="s">
        <x:v>91</x:v>
      </x:c>
      <x:c r="I396" s="24" t="s">
        <x:v>311</x:v>
      </x:c>
      <x:c r="J396" s="24" t="s">
        <x:v>348</x:v>
      </x:c>
      <x:c r="K396" s="22" t="s">
        <x:v>11</x:v>
      </x:c>
    </x:row>
    <x:row r="397" ht="15" hidden="1" customHeight="1">
      <x:c r="A397" s="24" t="s">
        <x:v>352</x:v>
      </x:c>
      <x:c r="B397" s="25">
        <x:v>46023</x:v>
      </x:c>
      <x:c r="C397" s="45" t="str">
        <x:f t="shared" si="6"/>
        <x:v>JANEIRO</x:v>
      </x:c>
      <x:c r="D397" s="24" t="s">
        <x:v>89</x:v>
      </x:c>
      <x:c r="E397" s="24" t="s">
        <x:v>353</x:v>
      </x:c>
      <x:c r="F397" s="24" t="s">
        <x:v>314</x:v>
      </x:c>
      <x:c r="G397" s="44">
        <x:v>3080</x:v>
      </x:c>
      <x:c r="H397" s="24" t="s">
        <x:v>91</x:v>
      </x:c>
      <x:c r="I397" s="24" t="s">
        <x:v>311</x:v>
      </x:c>
      <x:c r="J397" s="24" t="s">
        <x:v>348</x:v>
      </x:c>
      <x:c r="K397" s="22" t="s">
        <x:v>11</x:v>
      </x:c>
    </x:row>
    <x:row r="398" ht="15" hidden="1" customHeight="1">
      <x:c r="A398" s="24" t="s">
        <x:v>354</x:v>
      </x:c>
      <x:c r="B398" s="25">
        <x:v>46023</x:v>
      </x:c>
      <x:c r="C398" s="45" t="str">
        <x:f t="shared" si="6"/>
        <x:v>JANEIRO</x:v>
      </x:c>
      <x:c r="D398" s="30" t="s">
        <x:v>227</x:v>
      </x:c>
      <x:c r="E398" s="24" t="s">
        <x:v>355</x:v>
      </x:c>
      <x:c r="F398" s="24" t="s">
        <x:v>314</x:v>
      </x:c>
      <x:c r="G398" s="44">
        <x:v>-955.31</x:v>
      </x:c>
      <x:c r="H398" s="24" t="s">
        <x:v>82</x:v>
      </x:c>
      <x:c r="I398" s="24" t="s">
        <x:v>311</x:v>
      </x:c>
      <x:c r="J398" s="24" t="s">
        <x:v>356</x:v>
      </x:c>
      <x:c r="K398" s="22" t="s">
        <x:v>11</x:v>
      </x:c>
    </x:row>
    <x:row r="399" ht="15" hidden="1" customHeight="1">
      <x:c r="A399" s="24" t="s">
        <x:v>357</x:v>
      </x:c>
      <x:c r="B399" s="25">
        <x:v>46023</x:v>
      </x:c>
      <x:c r="C399" s="45" t="str">
        <x:f t="shared" si="6"/>
        <x:v>JANEIRO</x:v>
      </x:c>
      <x:c r="D399" s="30" t="s">
        <x:v>227</x:v>
      </x:c>
      <x:c r="E399" s="24" t="s">
        <x:v>355</x:v>
      </x:c>
      <x:c r="F399" s="24" t="s">
        <x:v>314</x:v>
      </x:c>
      <x:c r="G399" s="44">
        <x:v>-2210.21</x:v>
      </x:c>
      <x:c r="H399" s="24" t="s">
        <x:v>82</x:v>
      </x:c>
      <x:c r="I399" s="24" t="s">
        <x:v>311</x:v>
      </x:c>
      <x:c r="J399" s="24" t="s">
        <x:v>356</x:v>
      </x:c>
      <x:c r="K399" s="22" t="s">
        <x:v>11</x:v>
      </x:c>
    </x:row>
    <x:row r="400" ht="15" hidden="1" customHeight="1">
      <x:c r="A400" s="24" t="s">
        <x:v>325</x:v>
      </x:c>
      <x:c r="B400" s="25">
        <x:v>46023</x:v>
      </x:c>
      <x:c r="C400" s="45" t="str">
        <x:f t="shared" si="6"/>
        <x:v>JANEIRO</x:v>
      </x:c>
      <x:c r="D400" s="30" t="s">
        <x:v>227</x:v>
      </x:c>
      <x:c r="E400" s="24" t="s">
        <x:v>10</x:v>
      </x:c>
      <x:c r="F400" s="24" t="s">
        <x:v>314</x:v>
      </x:c>
      <x:c r="G400" s="44">
        <x:v>-90</x:v>
      </x:c>
      <x:c r="H400" s="24" t="s">
        <x:v>82</x:v>
      </x:c>
      <x:c r="I400" s="24" t="s">
        <x:v>311</x:v>
      </x:c>
      <x:c r="J400" s="24" t="s">
        <x:v>356</x:v>
      </x:c>
      <x:c r="K400" s="22" t="s">
        <x:v>11</x:v>
      </x:c>
    </x:row>
    <x:row r="401" ht="15" hidden="1" customHeight="1">
      <x:c r="A401" s="24" t="s">
        <x:v>315</x:v>
      </x:c>
      <x:c r="B401" s="25">
        <x:v>46023</x:v>
      </x:c>
      <x:c r="C401" s="45" t="str">
        <x:f t="shared" si="6"/>
        <x:v>JANEIRO</x:v>
      </x:c>
      <x:c r="D401" s="30" t="s">
        <x:v>162</x:v>
      </x:c>
      <x:c r="E401" s="24" t="s">
        <x:v>24</x:v>
      </x:c>
      <x:c r="F401" s="24" t="s">
        <x:v>66</x:v>
      </x:c>
      <x:c r="G401" s="44">
        <x:v>-400</x:v>
      </x:c>
      <x:c r="H401" s="24" t="s">
        <x:v>82</x:v>
      </x:c>
      <x:c r="I401" s="24" t="s">
        <x:v>311</x:v>
      </x:c>
      <x:c r="J401" s="24" t="s">
        <x:v>356</x:v>
      </x:c>
      <x:c r="K401" s="22" t="s">
        <x:v>11</x:v>
      </x:c>
    </x:row>
    <x:row r="402" ht="15" hidden="1" customHeight="1">
      <x:c r="A402" s="24" t="s">
        <x:v>315</x:v>
      </x:c>
      <x:c r="B402" s="25">
        <x:v>46023</x:v>
      </x:c>
      <x:c r="C402" s="45" t="str">
        <x:f t="shared" si="6"/>
        <x:v>JANEIRO</x:v>
      </x:c>
      <x:c r="D402" s="30" t="s">
        <x:v>162</x:v>
      </x:c>
      <x:c r="E402" s="24" t="s">
        <x:v>13</x:v>
      </x:c>
      <x:c r="F402" s="24" t="s">
        <x:v>59</x:v>
      </x:c>
      <x:c r="G402" s="44">
        <x:v>-400</x:v>
      </x:c>
      <x:c r="H402" s="24" t="s">
        <x:v>82</x:v>
      </x:c>
      <x:c r="I402" s="24" t="s">
        <x:v>311</x:v>
      </x:c>
      <x:c r="J402" s="24" t="s">
        <x:v>356</x:v>
      </x:c>
      <x:c r="K402" s="22" t="s">
        <x:v>11</x:v>
      </x:c>
    </x:row>
    <x:row r="403" ht="15" hidden="1" customHeight="1">
      <x:c r="A403" s="24" t="s">
        <x:v>315</x:v>
      </x:c>
      <x:c r="B403" s="25">
        <x:v>46023</x:v>
      </x:c>
      <x:c r="C403" s="45" t="str">
        <x:f t="shared" si="6"/>
        <x:v>JANEIRO</x:v>
      </x:c>
      <x:c r="D403" s="30" t="s">
        <x:v>162</x:v>
      </x:c>
      <x:c r="E403" s="24" t="s">
        <x:v>317</x:v>
      </x:c>
      <x:c r="F403" s="24" t="s">
        <x:v>44</x:v>
      </x:c>
      <x:c r="G403" s="44">
        <x:v>-400</x:v>
      </x:c>
      <x:c r="H403" s="24" t="s">
        <x:v>82</x:v>
      </x:c>
      <x:c r="I403" s="24" t="s">
        <x:v>311</x:v>
      </x:c>
      <x:c r="J403" s="24" t="s">
        <x:v>356</x:v>
      </x:c>
      <x:c r="K403" s="22" t="s">
        <x:v>11</x:v>
      </x:c>
    </x:row>
    <x:row r="404" ht="15" hidden="1" customHeight="1">
      <x:c r="A404" s="24" t="s">
        <x:v>358</x:v>
      </x:c>
      <x:c r="B404" s="25">
        <x:v>46023</x:v>
      </x:c>
      <x:c r="C404" s="45" t="str">
        <x:f t="shared" si="6"/>
        <x:v>JANEIRO</x:v>
      </x:c>
      <x:c r="D404" s="24" t="s">
        <x:v>89</x:v>
      </x:c>
      <x:c r="E404" s="24" t="s">
        <x:v>359</x:v>
      </x:c>
      <x:c r="F404" s="24" t="s">
        <x:v>59</x:v>
      </x:c>
      <x:c r="G404" s="44">
        <x:v>12262.5</x:v>
      </x:c>
      <x:c r="H404" s="24" t="s">
        <x:v>91</x:v>
      </x:c>
      <x:c r="I404" s="24" t="s">
        <x:v>311</x:v>
      </x:c>
      <x:c r="J404" s="24" t="s">
        <x:v>356</x:v>
      </x:c>
      <x:c r="K404" s="22" t="s">
        <x:v>11</x:v>
      </x:c>
    </x:row>
    <x:row r="405" hidden="1">
      <x:c r="A405" s="24" t="s">
        <x:v>357</x:v>
      </x:c>
      <x:c r="B405" s="25">
        <x:v>46023</x:v>
      </x:c>
      <x:c r="C405" s="45" t="str">
        <x:f t="shared" si="6"/>
        <x:v>JANEIRO</x:v>
      </x:c>
      <x:c r="D405" s="30" t="s">
        <x:v>227</x:v>
      </x:c>
      <x:c r="E405" s="24" t="s">
        <x:v>13</x:v>
      </x:c>
      <x:c r="F405" s="24" t="s">
        <x:v>59</x:v>
      </x:c>
      <x:c r="G405" s="44">
        <x:v>-36</x:v>
      </x:c>
      <x:c r="H405" s="24" t="s">
        <x:v>82</x:v>
      </x:c>
      <x:c r="I405" s="24" t="s">
        <x:v>311</x:v>
      </x:c>
      <x:c r="J405" s="24" t="s">
        <x:v>356</x:v>
      </x:c>
      <x:c r="K405" s="22" t="s">
        <x:v>11</x:v>
      </x:c>
    </x:row>
    <x:row r="406" hidden="1">
      <x:c r="A406" s="24" t="s">
        <x:v>360</x:v>
      </x:c>
      <x:c r="B406" s="25">
        <x:v>46023</x:v>
      </x:c>
      <x:c r="C406" s="45" t="str">
        <x:f t="shared" si="6"/>
        <x:v>JANEIRO</x:v>
      </x:c>
      <x:c r="D406" s="24" t="s">
        <x:v>89</x:v>
      </x:c>
      <x:c r="E406" s="24" t="s">
        <x:v>361</x:v>
      </x:c>
      <x:c r="F406" s="24" t="s">
        <x:v>65</x:v>
      </x:c>
      <x:c r="G406" s="44">
        <x:v>9853.6</x:v>
      </x:c>
      <x:c r="H406" s="24" t="s">
        <x:v>91</x:v>
      </x:c>
      <x:c r="I406" s="24" t="s">
        <x:v>311</x:v>
      </x:c>
      <x:c r="J406" s="24" t="s">
        <x:v>356</x:v>
      </x:c>
      <x:c r="K406" s="22" t="s">
        <x:v>11</x:v>
      </x:c>
    </x:row>
    <x:row r="407" hidden="1">
      <x:c r="A407" s="24" t="s">
        <x:v>362</x:v>
      </x:c>
      <x:c r="B407" s="25">
        <x:v>46023</x:v>
      </x:c>
      <x:c r="C407" s="45" t="str">
        <x:f t="shared" si="6"/>
        <x:v>JANEIRO</x:v>
      </x:c>
      <x:c r="D407" s="24" t="s">
        <x:v>89</x:v>
      </x:c>
      <x:c r="E407" s="24" t="s">
        <x:v>363</x:v>
      </x:c>
      <x:c r="F407" s="24" t="s">
        <x:v>44</x:v>
      </x:c>
      <x:c r="G407" s="44">
        <x:v>12120.8</x:v>
      </x:c>
      <x:c r="H407" s="24" t="s">
        <x:v>91</x:v>
      </x:c>
      <x:c r="I407" s="24" t="s">
        <x:v>311</x:v>
      </x:c>
      <x:c r="J407" s="24" t="s">
        <x:v>356</x:v>
      </x:c>
      <x:c r="K407" s="22" t="s">
        <x:v>11</x:v>
      </x:c>
    </x:row>
    <x:row r="408" hidden="1">
      <x:c r="A408" s="24" t="s">
        <x:v>309</x:v>
      </x:c>
      <x:c r="B408" s="25">
        <x:v>46023</x:v>
      </x:c>
      <x:c r="C408" s="45" t="str">
        <x:f t="shared" si="6"/>
        <x:v>JANEIRO</x:v>
      </x:c>
      <x:c r="D408" s="30" t="s">
        <x:v>227</x:v>
      </x:c>
      <x:c r="E408" s="24" t="s">
        <x:v>313</x:v>
      </x:c>
      <x:c r="F408" s="24" t="s">
        <x:v>314</x:v>
      </x:c>
      <x:c r="G408" s="44">
        <x:v>-5671.0559999999996</x:v>
      </x:c>
      <x:c r="H408" s="24" t="s">
        <x:v>82</x:v>
      </x:c>
      <x:c r="I408" s="24" t="s">
        <x:v>311</x:v>
      </x:c>
      <x:c r="J408" s="24" t="s">
        <x:v>364</x:v>
      </x:c>
      <x:c r="K408" s="22" t="s">
        <x:v>11</x:v>
      </x:c>
    </x:row>
    <x:row r="409" hidden="1">
      <x:c r="A409" s="24" t="s">
        <x:v>309</x:v>
      </x:c>
      <x:c r="B409" s="25">
        <x:v>46023</x:v>
      </x:c>
      <x:c r="C409" s="45" t="str">
        <x:f t="shared" si="6"/>
        <x:v>JANEIRO</x:v>
      </x:c>
      <x:c r="D409" s="30" t="s">
        <x:v>227</x:v>
      </x:c>
      <x:c r="E409" s="24" t="s">
        <x:v>24</x:v>
      </x:c>
      <x:c r="F409" s="24" t="s">
        <x:v>66</x:v>
      </x:c>
      <x:c r="G409" s="44">
        <x:v>-1835</x:v>
      </x:c>
      <x:c r="H409" s="24" t="s">
        <x:v>82</x:v>
      </x:c>
      <x:c r="I409" s="24" t="s">
        <x:v>311</x:v>
      </x:c>
      <x:c r="J409" s="24" t="s">
        <x:v>364</x:v>
      </x:c>
      <x:c r="K409" s="22" t="s">
        <x:v>11</x:v>
      </x:c>
    </x:row>
    <x:row r="410" hidden="1">
      <x:c r="A410" s="24" t="s">
        <x:v>309</x:v>
      </x:c>
      <x:c r="B410" s="25">
        <x:v>46023</x:v>
      </x:c>
      <x:c r="C410" s="45" t="str">
        <x:f t="shared" si="6"/>
        <x:v>JANEIRO</x:v>
      </x:c>
      <x:c r="D410" s="30" t="s">
        <x:v>227</x:v>
      </x:c>
      <x:c r="E410" s="24" t="s">
        <x:v>313</x:v>
      </x:c>
      <x:c r="F410" s="24" t="s">
        <x:v>44</x:v>
      </x:c>
      <x:c r="G410" s="44">
        <x:v>-5671.0559999999996</x:v>
      </x:c>
      <x:c r="H410" s="24" t="s">
        <x:v>82</x:v>
      </x:c>
      <x:c r="I410" s="24" t="s">
        <x:v>311</x:v>
      </x:c>
      <x:c r="J410" s="24" t="s">
        <x:v>364</x:v>
      </x:c>
      <x:c r="K410" s="22" t="s">
        <x:v>11</x:v>
      </x:c>
    </x:row>
    <x:row r="411" hidden="1">
      <x:c r="A411" s="24" t="s">
        <x:v>309</x:v>
      </x:c>
      <x:c r="B411" s="25">
        <x:v>46023</x:v>
      </x:c>
      <x:c r="C411" s="45" t="str">
        <x:f t="shared" si="6"/>
        <x:v>JANEIRO</x:v>
      </x:c>
      <x:c r="D411" s="30" t="s">
        <x:v>227</x:v>
      </x:c>
      <x:c r="E411" s="24" t="s">
        <x:v>313</x:v>
      </x:c>
      <x:c r="F411" s="24" t="s">
        <x:v>59</x:v>
      </x:c>
      <x:c r="G411" s="44">
        <x:v>-5671.0559999999996</x:v>
      </x:c>
      <x:c r="H411" s="24" t="s">
        <x:v>82</x:v>
      </x:c>
      <x:c r="I411" s="24" t="s">
        <x:v>311</x:v>
      </x:c>
      <x:c r="J411" s="24" t="s">
        <x:v>364</x:v>
      </x:c>
      <x:c r="K411" s="22" t="s">
        <x:v>11</x:v>
      </x:c>
    </x:row>
    <x:row r="412" hidden="1">
      <x:c r="A412" s="24" t="s">
        <x:v>309</x:v>
      </x:c>
      <x:c r="B412" s="25">
        <x:v>46023</x:v>
      </x:c>
      <x:c r="C412" s="45" t="str">
        <x:f t="shared" si="6"/>
        <x:v>JANEIRO</x:v>
      </x:c>
      <x:c r="D412" s="30" t="s">
        <x:v>227</x:v>
      </x:c>
      <x:c r="E412" s="24" t="s">
        <x:v>313</x:v>
      </x:c>
      <x:c r="F412" s="24" t="s">
        <x:v>66</x:v>
      </x:c>
      <x:c r="G412" s="44">
        <x:v>-5671.0559999999996</x:v>
      </x:c>
      <x:c r="H412" s="24" t="s">
        <x:v>82</x:v>
      </x:c>
      <x:c r="I412" s="24" t="s">
        <x:v>311</x:v>
      </x:c>
      <x:c r="J412" s="24" t="s">
        <x:v>364</x:v>
      </x:c>
      <x:c r="K412" s="22" t="s">
        <x:v>11</x:v>
      </x:c>
    </x:row>
    <x:row r="413" hidden="1">
      <x:c r="A413" s="24" t="s">
        <x:v>309</x:v>
      </x:c>
      <x:c r="B413" s="25">
        <x:v>46023</x:v>
      </x:c>
      <x:c r="C413" s="45" t="str">
        <x:f t="shared" si="6"/>
        <x:v>JANEIRO</x:v>
      </x:c>
      <x:c r="D413" s="30" t="s">
        <x:v>227</x:v>
      </x:c>
      <x:c r="E413" s="24" t="s">
        <x:v>313</x:v>
      </x:c>
      <x:c r="F413" s="24" t="s">
        <x:v>65</x:v>
      </x:c>
      <x:c r="G413" s="44">
        <x:v>-5671.0559999999996</x:v>
      </x:c>
      <x:c r="H413" s="24" t="s">
        <x:v>82</x:v>
      </x:c>
      <x:c r="I413" s="24" t="s">
        <x:v>311</x:v>
      </x:c>
      <x:c r="J413" s="24" t="s">
        <x:v>364</x:v>
      </x:c>
      <x:c r="K413" s="22" t="s">
        <x:v>11</x:v>
      </x:c>
    </x:row>
    <x:row r="414" hidden="1">
      <x:c r="A414" s="24" t="s">
        <x:v>309</x:v>
      </x:c>
      <x:c r="B414" s="25">
        <x:v>46023</x:v>
      </x:c>
      <x:c r="C414" s="45" t="str">
        <x:f t="shared" si="6"/>
        <x:v>JANEIRO</x:v>
      </x:c>
      <x:c r="D414" s="30" t="s">
        <x:v>227</x:v>
      </x:c>
      <x:c r="E414" s="24" t="s">
        <x:v>310</x:v>
      </x:c>
      <x:c r="F414" s="24" t="s">
        <x:v>314</x:v>
      </x:c>
      <x:c r="G414" s="44">
        <x:v>-882.09400000000005</x:v>
      </x:c>
      <x:c r="H414" s="24" t="s">
        <x:v>82</x:v>
      </x:c>
      <x:c r="I414" s="24" t="s">
        <x:v>311</x:v>
      </x:c>
      <x:c r="J414" s="24" t="s">
        <x:v>364</x:v>
      </x:c>
      <x:c r="K414" s="22" t="s">
        <x:v>11</x:v>
      </x:c>
    </x:row>
    <x:row r="415" hidden="1">
      <x:c r="A415" s="24" t="s">
        <x:v>309</x:v>
      </x:c>
      <x:c r="B415" s="25">
        <x:v>46023</x:v>
      </x:c>
      <x:c r="C415" s="45" t="str">
        <x:f t="shared" si="6"/>
        <x:v>JANEIRO</x:v>
      </x:c>
      <x:c r="D415" s="30" t="s">
        <x:v>227</x:v>
      </x:c>
      <x:c r="E415" s="24" t="s">
        <x:v>310</x:v>
      </x:c>
      <x:c r="F415" s="24" t="s">
        <x:v>44</x:v>
      </x:c>
      <x:c r="G415" s="44">
        <x:v>-882.09400000000005</x:v>
      </x:c>
      <x:c r="H415" s="24" t="s">
        <x:v>82</x:v>
      </x:c>
      <x:c r="I415" s="24" t="s">
        <x:v>311</x:v>
      </x:c>
      <x:c r="J415" s="24" t="s">
        <x:v>364</x:v>
      </x:c>
      <x:c r="K415" s="22" t="s">
        <x:v>11</x:v>
      </x:c>
    </x:row>
    <x:row r="416" hidden="1">
      <x:c r="A416" s="24" t="s">
        <x:v>309</x:v>
      </x:c>
      <x:c r="B416" s="25">
        <x:v>46023</x:v>
      </x:c>
      <x:c r="C416" s="45" t="str">
        <x:f t="shared" si="6"/>
        <x:v>JANEIRO</x:v>
      </x:c>
      <x:c r="D416" s="30" t="s">
        <x:v>227</x:v>
      </x:c>
      <x:c r="E416" s="24" t="s">
        <x:v>310</x:v>
      </x:c>
      <x:c r="F416" s="24" t="s">
        <x:v>59</x:v>
      </x:c>
      <x:c r="G416" s="44">
        <x:v>-882.09400000000005</x:v>
      </x:c>
      <x:c r="H416" s="24" t="s">
        <x:v>82</x:v>
      </x:c>
      <x:c r="I416" s="24" t="s">
        <x:v>311</x:v>
      </x:c>
      <x:c r="J416" s="24" t="s">
        <x:v>364</x:v>
      </x:c>
      <x:c r="K416" s="22" t="s">
        <x:v>11</x:v>
      </x:c>
    </x:row>
    <x:row r="417" hidden="1">
      <x:c r="A417" s="24" t="s">
        <x:v>309</x:v>
      </x:c>
      <x:c r="B417" s="25">
        <x:v>46023</x:v>
      </x:c>
      <x:c r="C417" s="45" t="str">
        <x:f t="shared" si="6"/>
        <x:v>JANEIRO</x:v>
      </x:c>
      <x:c r="D417" s="30" t="s">
        <x:v>227</x:v>
      </x:c>
      <x:c r="E417" s="24" t="s">
        <x:v>310</x:v>
      </x:c>
      <x:c r="F417" s="24" t="s">
        <x:v>66</x:v>
      </x:c>
      <x:c r="G417" s="44">
        <x:v>-882.09400000000005</x:v>
      </x:c>
      <x:c r="H417" s="24" t="s">
        <x:v>82</x:v>
      </x:c>
      <x:c r="I417" s="24" t="s">
        <x:v>311</x:v>
      </x:c>
      <x:c r="J417" s="24" t="s">
        <x:v>364</x:v>
      </x:c>
      <x:c r="K417" s="22" t="s">
        <x:v>11</x:v>
      </x:c>
    </x:row>
    <x:row r="418" hidden="1">
      <x:c r="A418" s="24" t="s">
        <x:v>309</x:v>
      </x:c>
      <x:c r="B418" s="25">
        <x:v>46023</x:v>
      </x:c>
      <x:c r="C418" s="45" t="str">
        <x:f t="shared" si="6"/>
        <x:v>JANEIRO</x:v>
      </x:c>
      <x:c r="D418" s="30" t="s">
        <x:v>227</x:v>
      </x:c>
      <x:c r="E418" s="24" t="s">
        <x:v>310</x:v>
      </x:c>
      <x:c r="F418" s="24" t="s">
        <x:v>65</x:v>
      </x:c>
      <x:c r="G418" s="44">
        <x:v>-882.09400000000005</x:v>
      </x:c>
      <x:c r="H418" s="24" t="s">
        <x:v>82</x:v>
      </x:c>
      <x:c r="I418" s="24" t="s">
        <x:v>311</x:v>
      </x:c>
      <x:c r="J418" s="24" t="s">
        <x:v>364</x:v>
      </x:c>
      <x:c r="K418" s="22" t="s">
        <x:v>11</x:v>
      </x:c>
    </x:row>
    <x:row r="419" hidden="1">
      <x:c r="A419" s="24" t="s">
        <x:v>365</x:v>
      </x:c>
      <x:c r="B419" s="25">
        <x:v>46023</x:v>
      </x:c>
      <x:c r="C419" s="45" t="str">
        <x:f t="shared" si="6"/>
        <x:v>JANEIRO</x:v>
      </x:c>
      <x:c r="D419" s="30" t="s">
        <x:v>173</x:v>
      </x:c>
      <x:c r="E419" s="24" t="s">
        <x:v>133</x:v>
      </x:c>
      <x:c r="F419" s="24" t="s">
        <x:v>314</x:v>
      </x:c>
      <x:c r="G419" s="44">
        <x:v>-90.09</x:v>
      </x:c>
      <x:c r="H419" s="24" t="s">
        <x:v>82</x:v>
      </x:c>
      <x:c r="I419" s="24" t="s">
        <x:v>311</x:v>
      </x:c>
      <x:c r="J419" s="24" t="s">
        <x:v>364</x:v>
      </x:c>
      <x:c r="K419" s="22" t="s">
        <x:v>11</x:v>
      </x:c>
    </x:row>
    <x:row r="420" hidden="1">
      <x:c r="A420" s="24" t="s">
        <x:v>365</x:v>
      </x:c>
      <x:c r="B420" s="25">
        <x:v>46023</x:v>
      </x:c>
      <x:c r="C420" s="45" t="str">
        <x:f t="shared" si="6"/>
        <x:v>JANEIRO</x:v>
      </x:c>
      <x:c r="D420" s="30" t="s">
        <x:v>173</x:v>
      </x:c>
      <x:c r="E420" s="24" t="s">
        <x:v>133</x:v>
      </x:c>
      <x:c r="F420" s="24" t="s">
        <x:v>314</x:v>
      </x:c>
      <x:c r="G420" s="44">
        <x:v>-324.99</x:v>
      </x:c>
      <x:c r="H420" s="24" t="s">
        <x:v>82</x:v>
      </x:c>
      <x:c r="I420" s="24" t="s">
        <x:v>311</x:v>
      </x:c>
      <x:c r="J420" s="24" t="s">
        <x:v>364</x:v>
      </x:c>
      <x:c r="K420" s="22" t="s">
        <x:v>11</x:v>
      </x:c>
    </x:row>
    <x:row r="421" hidden="1">
      <x:c r="A421" s="24" t="s">
        <x:v>366</x:v>
      </x:c>
      <x:c r="B421" s="25">
        <x:v>46023</x:v>
      </x:c>
      <x:c r="C421" s="45" t="str">
        <x:f t="shared" si="6"/>
        <x:v>JANEIRO</x:v>
      </x:c>
      <x:c r="D421" s="30" t="s">
        <x:v>173</x:v>
      </x:c>
      <x:c r="E421" s="24" t="s">
        <x:v>13</x:v>
      </x:c>
      <x:c r="F421" s="24" t="s">
        <x:v>59</x:v>
      </x:c>
      <x:c r="G421" s="44">
        <x:v>-486</x:v>
      </x:c>
      <x:c r="H421" s="24" t="s">
        <x:v>82</x:v>
      </x:c>
      <x:c r="I421" s="24" t="s">
        <x:v>311</x:v>
      </x:c>
      <x:c r="J421" s="24" t="s">
        <x:v>364</x:v>
      </x:c>
      <x:c r="K421" s="22" t="s">
        <x:v>11</x:v>
      </x:c>
    </x:row>
    <x:row r="422" hidden="1">
      <x:c r="A422" s="24" t="s">
        <x:v>325</x:v>
      </x:c>
      <x:c r="B422" s="25">
        <x:v>46023</x:v>
      </x:c>
      <x:c r="C422" s="45" t="str">
        <x:f t="shared" si="6"/>
        <x:v>JANEIRO</x:v>
      </x:c>
      <x:c r="D422" s="30" t="s">
        <x:v>227</x:v>
      </x:c>
      <x:c r="E422" s="24" t="s">
        <x:v>317</x:v>
      </x:c>
      <x:c r="F422" s="24" t="s">
        <x:v>44</x:v>
      </x:c>
      <x:c r="G422" s="44">
        <x:v>-80</x:v>
      </x:c>
      <x:c r="H422" s="24" t="s">
        <x:v>82</x:v>
      </x:c>
      <x:c r="I422" s="24" t="s">
        <x:v>311</x:v>
      </x:c>
      <x:c r="J422" s="24" t="s">
        <x:v>364</x:v>
      </x:c>
      <x:c r="K422" s="22" t="s">
        <x:v>11</x:v>
      </x:c>
    </x:row>
    <x:row r="423" hidden="1">
      <x:c r="A423" s="24" t="s">
        <x:v>315</x:v>
      </x:c>
      <x:c r="B423" s="25">
        <x:v>46023</x:v>
      </x:c>
      <x:c r="C423" s="45" t="str">
        <x:f t="shared" si="6"/>
        <x:v>JANEIRO</x:v>
      </x:c>
      <x:c r="D423" s="30" t="s">
        <x:v>162</x:v>
      </x:c>
      <x:c r="E423" s="24" t="s">
        <x:v>24</x:v>
      </x:c>
      <x:c r="F423" s="24" t="s">
        <x:v>66</x:v>
      </x:c>
      <x:c r="G423" s="44">
        <x:v>-400</x:v>
      </x:c>
      <x:c r="H423" s="24" t="s">
        <x:v>82</x:v>
      </x:c>
      <x:c r="I423" s="24" t="s">
        <x:v>311</x:v>
      </x:c>
      <x:c r="J423" s="24" t="s">
        <x:v>367</x:v>
      </x:c>
      <x:c r="K423" s="22" t="s">
        <x:v>11</x:v>
      </x:c>
    </x:row>
    <x:row r="424" hidden="1">
      <x:c r="A424" s="24" t="s">
        <x:v>368</x:v>
      </x:c>
      <x:c r="B424" s="25">
        <x:v>46023</x:v>
      </x:c>
      <x:c r="C424" s="45" t="str">
        <x:f t="shared" si="6"/>
        <x:v>JANEIRO</x:v>
      </x:c>
      <x:c r="D424" s="24" t="s">
        <x:v>89</x:v>
      </x:c>
      <x:c r="E424" s="24" t="s">
        <x:v>369</x:v>
      </x:c>
      <x:c r="F424" s="24" t="s">
        <x:v>66</x:v>
      </x:c>
      <x:c r="G424" s="44">
        <x:v>9853.6</x:v>
      </x:c>
      <x:c r="H424" s="24" t="s">
        <x:v>91</x:v>
      </x:c>
      <x:c r="I424" s="24" t="s">
        <x:v>311</x:v>
      </x:c>
      <x:c r="J424" s="24" t="s">
        <x:v>367</x:v>
      </x:c>
      <x:c r="K424" s="22" t="s">
        <x:v>11</x:v>
      </x:c>
    </x:row>
    <x:row r="425" hidden="1">
      <x:c r="A425" s="24" t="s">
        <x:v>357</x:v>
      </x:c>
      <x:c r="B425" s="25">
        <x:v>46023</x:v>
      </x:c>
      <x:c r="C425" s="45" t="str">
        <x:f t="shared" si="6"/>
        <x:v>JANEIRO</x:v>
      </x:c>
      <x:c r="D425" s="30" t="s">
        <x:v>227</x:v>
      </x:c>
      <x:c r="E425" s="24" t="s">
        <x:v>370</x:v>
      </x:c>
      <x:c r="F425" s="24" t="s">
        <x:v>314</x:v>
      </x:c>
      <x:c r="G425" s="44">
        <x:v>-132.33000000000001</x:v>
      </x:c>
      <x:c r="H425" s="24" t="s">
        <x:v>82</x:v>
      </x:c>
      <x:c r="I425" s="24" t="s">
        <x:v>311</x:v>
      </x:c>
      <x:c r="J425" s="24" t="s">
        <x:v>367</x:v>
      </x:c>
      <x:c r="K425" s="22" t="s">
        <x:v>11</x:v>
      </x:c>
    </x:row>
    <x:row r="426" hidden="1">
      <x:c r="A426" s="24" t="s">
        <x:v>371</x:v>
      </x:c>
      <x:c r="B426" s="25">
        <x:v>46023</x:v>
      </x:c>
      <x:c r="C426" s="45" t="str">
        <x:f t="shared" si="6"/>
        <x:v>JANEIRO</x:v>
      </x:c>
      <x:c r="D426" s="24" t="s">
        <x:v>89</x:v>
      </x:c>
      <x:c r="E426" s="24" t="s">
        <x:v>321</x:v>
      </x:c>
      <x:c r="F426" s="24" t="s">
        <x:v>66</x:v>
      </x:c>
      <x:c r="G426" s="44">
        <x:v>8938</x:v>
      </x:c>
      <x:c r="H426" s="24" t="s">
        <x:v>91</x:v>
      </x:c>
      <x:c r="I426" s="24" t="s">
        <x:v>311</x:v>
      </x:c>
      <x:c r="J426" s="24" t="s">
        <x:v>367</x:v>
      </x:c>
      <x:c r="K426" s="22" t="s">
        <x:v>11</x:v>
      </x:c>
    </x:row>
    <x:row r="427" hidden="1">
      <x:c r="A427" s="24" t="s">
        <x:v>315</x:v>
      </x:c>
      <x:c r="B427" s="25">
        <x:v>46023</x:v>
      </x:c>
      <x:c r="C427" s="45" t="str">
        <x:f t="shared" si="6"/>
        <x:v>JANEIRO</x:v>
      </x:c>
      <x:c r="D427" s="24" t="s">
        <x:v>162</x:v>
      </x:c>
      <x:c r="E427" s="24" t="s">
        <x:v>23</x:v>
      </x:c>
      <x:c r="F427" s="24" t="s">
        <x:v>65</x:v>
      </x:c>
      <x:c r="G427" s="44">
        <x:v>-400</x:v>
      </x:c>
      <x:c r="H427" s="24" t="s">
        <x:v>82</x:v>
      </x:c>
      <x:c r="I427" s="24" t="s">
        <x:v>311</x:v>
      </x:c>
      <x:c r="J427" s="24" t="s">
        <x:v>372</x:v>
      </x:c>
      <x:c r="K427" s="22" t="s">
        <x:v>11</x:v>
      </x:c>
    </x:row>
    <x:row r="428" hidden="1">
      <x:c r="A428" s="24" t="s">
        <x:v>315</x:v>
      </x:c>
      <x:c r="B428" s="25">
        <x:v>46023</x:v>
      </x:c>
      <x:c r="C428" s="45" t="str">
        <x:f t="shared" si="6"/>
        <x:v>JANEIRO</x:v>
      </x:c>
      <x:c r="D428" s="24" t="s">
        <x:v>162</x:v>
      </x:c>
      <x:c r="E428" s="24" t="s">
        <x:v>317</x:v>
      </x:c>
      <x:c r="F428" s="24" t="s">
        <x:v>44</x:v>
      </x:c>
      <x:c r="G428" s="44">
        <x:v>-400</x:v>
      </x:c>
      <x:c r="H428" s="24" t="s">
        <x:v>82</x:v>
      </x:c>
      <x:c r="I428" s="24" t="s">
        <x:v>311</x:v>
      </x:c>
      <x:c r="J428" s="24" t="s">
        <x:v>372</x:v>
      </x:c>
      <x:c r="K428" s="22" t="s">
        <x:v>11</x:v>
      </x:c>
    </x:row>
    <x:row r="429" hidden="1">
      <x:c r="A429" s="24" t="s">
        <x:v>325</x:v>
      </x:c>
      <x:c r="B429" s="25">
        <x:v>46023</x:v>
      </x:c>
      <x:c r="C429" s="45" t="str">
        <x:f t="shared" si="6"/>
        <x:v>JANEIRO</x:v>
      </x:c>
      <x:c r="D429" s="24" t="s">
        <x:v>227</x:v>
      </x:c>
      <x:c r="E429" s="24" t="s">
        <x:v>317</x:v>
      </x:c>
      <x:c r="F429" s="24" t="s">
        <x:v>44</x:v>
      </x:c>
      <x:c r="G429" s="44">
        <x:v>-280</x:v>
      </x:c>
      <x:c r="H429" s="24" t="s">
        <x:v>82</x:v>
      </x:c>
      <x:c r="I429" s="24" t="s">
        <x:v>311</x:v>
      </x:c>
      <x:c r="J429" s="24" t="s">
        <x:v>372</x:v>
      </x:c>
      <x:c r="K429" s="22" t="s">
        <x:v>11</x:v>
      </x:c>
    </x:row>
    <x:row r="430" hidden="1">
      <x:c r="A430" s="24" t="s">
        <x:v>373</x:v>
      </x:c>
      <x:c r="B430" s="25">
        <x:v>46023</x:v>
      </x:c>
      <x:c r="C430" s="45" t="str">
        <x:f t="shared" si="6"/>
        <x:v>JANEIRO</x:v>
      </x:c>
      <x:c r="D430" s="24" t="s">
        <x:v>89</x:v>
      </x:c>
      <x:c r="E430" s="24" t="s">
        <x:v>374</x:v>
      </x:c>
      <x:c r="F430" s="24" t="s">
        <x:v>44</x:v>
      </x:c>
      <x:c r="G430" s="44">
        <x:v>12066.3</x:v>
      </x:c>
      <x:c r="H430" s="24" t="s">
        <x:v>91</x:v>
      </x:c>
      <x:c r="I430" s="24" t="s">
        <x:v>311</x:v>
      </x:c>
      <x:c r="J430" s="24" t="s">
        <x:v>372</x:v>
      </x:c>
      <x:c r="K430" s="22" t="s">
        <x:v>11</x:v>
      </x:c>
    </x:row>
    <x:row r="431" hidden="1">
      <x:c r="A431" s="24" t="s">
        <x:v>115</x:v>
      </x:c>
      <x:c r="B431" s="25">
        <x:v>46023</x:v>
      </x:c>
      <x:c r="C431" s="45" t="str">
        <x:f t="shared" si="6"/>
        <x:v>JANEIRO</x:v>
      </x:c>
      <x:c r="D431" s="24" t="s">
        <x:v>116</x:v>
      </x:c>
      <x:c r="E431" s="24" t="s">
        <x:v>347</x:v>
      </x:c>
      <x:c r="F431" s="24" t="s">
        <x:v>314</x:v>
      </x:c>
      <x:c r="G431" s="44">
        <x:v>-2753.11</x:v>
      </x:c>
      <x:c r="H431" s="24" t="s">
        <x:v>82</x:v>
      </x:c>
      <x:c r="I431" s="24" t="s">
        <x:v>311</x:v>
      </x:c>
      <x:c r="J431" s="24" t="s">
        <x:v>375</x:v>
      </x:c>
      <x:c r="K431" s="22" t="s">
        <x:v>11</x:v>
      </x:c>
    </x:row>
    <x:row r="432" hidden="1">
      <x:c r="A432" s="24" t="s">
        <x:v>309</x:v>
      </x:c>
      <x:c r="B432" s="25">
        <x:v>46023</x:v>
      </x:c>
      <x:c r="C432" s="45" t="str">
        <x:f t="shared" si="6"/>
        <x:v>JANEIRO</x:v>
      </x:c>
      <x:c r="D432" s="24" t="s">
        <x:v>227</x:v>
      </x:c>
      <x:c r="E432" s="24" t="s">
        <x:v>327</x:v>
      </x:c>
      <x:c r="F432" s="24" t="s">
        <x:v>314</x:v>
      </x:c>
      <x:c r="G432" s="44">
        <x:v>-3383.0659999999998</x:v>
      </x:c>
      <x:c r="H432" s="24" t="s">
        <x:v>82</x:v>
      </x:c>
      <x:c r="I432" s="24" t="s">
        <x:v>311</x:v>
      </x:c>
      <x:c r="J432" s="24" t="s">
        <x:v>375</x:v>
      </x:c>
      <x:c r="K432" s="22" t="s">
        <x:v>11</x:v>
      </x:c>
    </x:row>
    <x:row r="433" hidden="1">
      <x:c r="A433" s="24" t="s">
        <x:v>309</x:v>
      </x:c>
      <x:c r="B433" s="25">
        <x:v>46023</x:v>
      </x:c>
      <x:c r="C433" s="45" t="str">
        <x:f t="shared" si="6"/>
        <x:v>JANEIRO</x:v>
      </x:c>
      <x:c r="D433" s="24" t="s">
        <x:v>227</x:v>
      </x:c>
      <x:c r="E433" s="24" t="s">
        <x:v>327</x:v>
      </x:c>
      <x:c r="F433" s="24" t="s">
        <x:v>44</x:v>
      </x:c>
      <x:c r="G433" s="44">
        <x:v>-3383.0659999999998</x:v>
      </x:c>
      <x:c r="H433" s="24" t="s">
        <x:v>82</x:v>
      </x:c>
      <x:c r="I433" s="24" t="s">
        <x:v>311</x:v>
      </x:c>
      <x:c r="J433" s="24" t="s">
        <x:v>375</x:v>
      </x:c>
      <x:c r="K433" s="22" t="s">
        <x:v>11</x:v>
      </x:c>
    </x:row>
    <x:row r="434" hidden="1">
      <x:c r="A434" s="24" t="s">
        <x:v>309</x:v>
      </x:c>
      <x:c r="B434" s="25">
        <x:v>46023</x:v>
      </x:c>
      <x:c r="C434" s="45" t="str">
        <x:f t="shared" si="6"/>
        <x:v>JANEIRO</x:v>
      </x:c>
      <x:c r="D434" s="24" t="s">
        <x:v>227</x:v>
      </x:c>
      <x:c r="E434" s="24" t="s">
        <x:v>327</x:v>
      </x:c>
      <x:c r="F434" s="24" t="s">
        <x:v>59</x:v>
      </x:c>
      <x:c r="G434" s="44">
        <x:v>-3383.0659999999998</x:v>
      </x:c>
      <x:c r="H434" s="24" t="s">
        <x:v>82</x:v>
      </x:c>
      <x:c r="I434" s="24" t="s">
        <x:v>311</x:v>
      </x:c>
      <x:c r="J434" s="24" t="s">
        <x:v>375</x:v>
      </x:c>
      <x:c r="K434" s="22" t="s">
        <x:v>11</x:v>
      </x:c>
    </x:row>
    <x:row r="435" hidden="1">
      <x:c r="A435" s="24" t="s">
        <x:v>309</x:v>
      </x:c>
      <x:c r="B435" s="25">
        <x:v>46023</x:v>
      </x:c>
      <x:c r="C435" s="45" t="str">
        <x:f t="shared" si="6"/>
        <x:v>JANEIRO</x:v>
      </x:c>
      <x:c r="D435" s="24" t="s">
        <x:v>227</x:v>
      </x:c>
      <x:c r="E435" s="24" t="s">
        <x:v>327</x:v>
      </x:c>
      <x:c r="F435" s="24" t="s">
        <x:v>66</x:v>
      </x:c>
      <x:c r="G435" s="44">
        <x:v>-3383.0659999999998</x:v>
      </x:c>
      <x:c r="H435" s="24" t="s">
        <x:v>82</x:v>
      </x:c>
      <x:c r="I435" s="24" t="s">
        <x:v>311</x:v>
      </x:c>
      <x:c r="J435" s="24" t="s">
        <x:v>375</x:v>
      </x:c>
      <x:c r="K435" s="22" t="s">
        <x:v>11</x:v>
      </x:c>
    </x:row>
    <x:row r="436" hidden="1">
      <x:c r="A436" s="24" t="s">
        <x:v>309</x:v>
      </x:c>
      <x:c r="B436" s="25">
        <x:v>46023</x:v>
      </x:c>
      <x:c r="C436" s="45" t="str">
        <x:f t="shared" si="6"/>
        <x:v>JANEIRO</x:v>
      </x:c>
      <x:c r="D436" s="24" t="s">
        <x:v>227</x:v>
      </x:c>
      <x:c r="E436" s="24" t="s">
        <x:v>327</x:v>
      </x:c>
      <x:c r="F436" s="24" t="s">
        <x:v>65</x:v>
      </x:c>
      <x:c r="G436" s="44">
        <x:v>-3383.0659999999998</x:v>
      </x:c>
      <x:c r="H436" s="24" t="s">
        <x:v>82</x:v>
      </x:c>
      <x:c r="I436" s="24" t="s">
        <x:v>311</x:v>
      </x:c>
      <x:c r="J436" s="24" t="s">
        <x:v>375</x:v>
      </x:c>
      <x:c r="K436" s="22" t="s">
        <x:v>11</x:v>
      </x:c>
    </x:row>
    <x:row r="437" hidden="1">
      <x:c r="A437" s="24" t="s">
        <x:v>315</x:v>
      </x:c>
      <x:c r="B437" s="25">
        <x:v>46023</x:v>
      </x:c>
      <x:c r="C437" s="45" t="str">
        <x:f t="shared" si="6"/>
        <x:v>JANEIRO</x:v>
      </x:c>
      <x:c r="D437" s="24" t="s">
        <x:v>162</x:v>
      </x:c>
      <x:c r="E437" s="24" t="s">
        <x:v>10</x:v>
      </x:c>
      <x:c r="F437" s="24" t="s">
        <x:v>314</x:v>
      </x:c>
      <x:c r="G437" s="44">
        <x:v>-400</x:v>
      </x:c>
      <x:c r="H437" s="24" t="s">
        <x:v>82</x:v>
      </x:c>
      <x:c r="I437" s="24" t="s">
        <x:v>311</x:v>
      </x:c>
      <x:c r="J437" s="24" t="s">
        <x:v>375</x:v>
      </x:c>
      <x:c r="K437" s="22" t="s">
        <x:v>11</x:v>
      </x:c>
    </x:row>
    <x:row r="438" hidden="1">
      <x:c r="A438" s="24" t="s">
        <x:v>315</x:v>
      </x:c>
      <x:c r="B438" s="25">
        <x:v>46023</x:v>
      </x:c>
      <x:c r="C438" s="45" t="str">
        <x:f t="shared" si="6"/>
        <x:v>JANEIRO</x:v>
      </x:c>
      <x:c r="D438" s="24" t="s">
        <x:v>162</x:v>
      </x:c>
      <x:c r="E438" s="24" t="s">
        <x:v>13</x:v>
      </x:c>
      <x:c r="F438" s="24" t="s">
        <x:v>59</x:v>
      </x:c>
      <x:c r="G438" s="44">
        <x:v>-400</x:v>
      </x:c>
      <x:c r="H438" s="24" t="s">
        <x:v>82</x:v>
      </x:c>
      <x:c r="I438" s="24" t="s">
        <x:v>311</x:v>
      </x:c>
      <x:c r="J438" s="24" t="s">
        <x:v>375</x:v>
      </x:c>
      <x:c r="K438" s="22" t="s">
        <x:v>11</x:v>
      </x:c>
    </x:row>
    <x:row r="439" hidden="1">
      <x:c r="A439" s="24" t="s">
        <x:v>376</x:v>
      </x:c>
      <x:c r="B439" s="25">
        <x:v>46023</x:v>
      </x:c>
      <x:c r="C439" s="45" t="str">
        <x:f t="shared" si="6"/>
        <x:v>JANEIRO</x:v>
      </x:c>
      <x:c r="D439" s="24" t="s">
        <x:v>89</x:v>
      </x:c>
      <x:c r="E439" s="24" t="s">
        <x:v>377</x:v>
      </x:c>
      <x:c r="F439" s="24" t="s">
        <x:v>314</x:v>
      </x:c>
      <x:c r="G439" s="44">
        <x:v>13679.5</x:v>
      </x:c>
      <x:c r="H439" s="24" t="s">
        <x:v>91</x:v>
      </x:c>
      <x:c r="I439" s="24" t="s">
        <x:v>311</x:v>
      </x:c>
      <x:c r="J439" s="24" t="s">
        <x:v>375</x:v>
      </x:c>
      <x:c r="K439" s="22" t="s">
        <x:v>11</x:v>
      </x:c>
    </x:row>
    <x:row r="440" hidden="1">
      <x:c r="A440" s="24" t="s">
        <x:v>378</x:v>
      </x:c>
      <x:c r="B440" s="25">
        <x:v>46023</x:v>
      </x:c>
      <x:c r="C440" s="45" t="str">
        <x:f t="shared" si="6"/>
        <x:v>JANEIRO</x:v>
      </x:c>
      <x:c r="D440" s="24" t="s">
        <x:v>89</x:v>
      </x:c>
      <x:c r="E440" s="24" t="s">
        <x:v>379</x:v>
      </x:c>
      <x:c r="F440" s="24" t="s">
        <x:v>59</x:v>
      </x:c>
      <x:c r="G440" s="44">
        <x:v>12317</x:v>
      </x:c>
      <x:c r="H440" s="24" t="s">
        <x:v>91</x:v>
      </x:c>
      <x:c r="I440" s="24" t="s">
        <x:v>311</x:v>
      </x:c>
      <x:c r="J440" s="24" t="s">
        <x:v>375</x:v>
      </x:c>
      <x:c r="K440" s="22" t="s">
        <x:v>11</x:v>
      </x:c>
    </x:row>
    <x:row r="441" hidden="1">
      <x:c r="A441" s="30" t="s">
        <x:v>112</x:v>
      </x:c>
      <x:c r="B441" s="25">
        <x:v>46023</x:v>
      </x:c>
      <x:c r="C441" s="45" t="str">
        <x:f t="shared" si="6"/>
        <x:v>JANEIRO</x:v>
      </x:c>
      <x:c r="D441" s="24" t="s">
        <x:v>112</x:v>
      </x:c>
      <x:c r="E441" s="24" t="s">
        <x:v>341</x:v>
      </x:c>
      <x:c r="F441" s="24" t="s">
        <x:v>59</x:v>
      </x:c>
      <x:c r="G441" s="44">
        <x:v>-21277.56</x:v>
      </x:c>
      <x:c r="H441" s="24" t="s">
        <x:v>82</x:v>
      </x:c>
      <x:c r="I441" s="24" t="s">
        <x:v>311</x:v>
      </x:c>
      <x:c r="J441" s="24" t="s">
        <x:v>380</x:v>
      </x:c>
      <x:c r="K441" s="22" t="s">
        <x:v>11</x:v>
      </x:c>
    </x:row>
    <x:row r="442" hidden="1">
      <x:c r="A442" s="30" t="s">
        <x:v>112</x:v>
      </x:c>
      <x:c r="B442" s="25">
        <x:v>46023</x:v>
      </x:c>
      <x:c r="C442" s="45" t="str">
        <x:f t="shared" si="6"/>
        <x:v>JANEIRO</x:v>
      </x:c>
      <x:c r="D442" s="24" t="s">
        <x:v>112</x:v>
      </x:c>
      <x:c r="E442" s="24" t="s">
        <x:v>341</x:v>
      </x:c>
      <x:c r="F442" s="24" t="s">
        <x:v>44</x:v>
      </x:c>
      <x:c r="G442" s="44">
        <x:v>-21277.56</x:v>
      </x:c>
      <x:c r="H442" s="24" t="s">
        <x:v>82</x:v>
      </x:c>
      <x:c r="I442" s="24" t="s">
        <x:v>311</x:v>
      </x:c>
      <x:c r="J442" s="24" t="s">
        <x:v>380</x:v>
      </x:c>
      <x:c r="K442" s="22" t="s">
        <x:v>11</x:v>
      </x:c>
    </x:row>
    <x:row r="443" hidden="1">
      <x:c r="A443" s="24" t="s">
        <x:v>325</x:v>
      </x:c>
      <x:c r="B443" s="25">
        <x:v>46023</x:v>
      </x:c>
      <x:c r="C443" s="45" t="str">
        <x:f t="shared" si="6"/>
        <x:v>JANEIRO</x:v>
      </x:c>
      <x:c r="D443" s="24" t="s">
        <x:v>227</x:v>
      </x:c>
      <x:c r="E443" s="24" t="s">
        <x:v>355</x:v>
      </x:c>
      <x:c r="F443" s="24" t="s">
        <x:v>65</x:v>
      </x:c>
      <x:c r="G443" s="44">
        <x:v>-166.67</x:v>
      </x:c>
      <x:c r="H443" s="24" t="s">
        <x:v>82</x:v>
      </x:c>
      <x:c r="I443" s="24" t="s">
        <x:v>311</x:v>
      </x:c>
      <x:c r="J443" s="24" t="s">
        <x:v>380</x:v>
      </x:c>
      <x:c r="K443" s="22" t="s">
        <x:v>11</x:v>
      </x:c>
    </x:row>
    <x:row r="444" hidden="1">
      <x:c r="A444" s="24" t="s">
        <x:v>357</x:v>
      </x:c>
      <x:c r="B444" s="25">
        <x:v>46023</x:v>
      </x:c>
      <x:c r="C444" s="45" t="str">
        <x:f t="shared" si="6"/>
        <x:v>JANEIRO</x:v>
      </x:c>
      <x:c r="D444" s="24" t="s">
        <x:v>227</x:v>
      </x:c>
      <x:c r="E444" s="24" t="s">
        <x:v>355</x:v>
      </x:c>
      <x:c r="F444" s="24" t="s">
        <x:v>65</x:v>
      </x:c>
      <x:c r="G444" s="44">
        <x:v>-333.33</x:v>
      </x:c>
      <x:c r="H444" s="24" t="s">
        <x:v>82</x:v>
      </x:c>
      <x:c r="I444" s="24" t="s">
        <x:v>311</x:v>
      </x:c>
      <x:c r="J444" s="24" t="s">
        <x:v>380</x:v>
      </x:c>
      <x:c r="K444" s="22" t="s">
        <x:v>11</x:v>
      </x:c>
    </x:row>
    <x:row r="445" hidden="1">
      <x:c r="A445" s="24" t="s">
        <x:v>357</x:v>
      </x:c>
      <x:c r="B445" s="25">
        <x:v>46023</x:v>
      </x:c>
      <x:c r="C445" s="45" t="str">
        <x:f t="shared" si="6"/>
        <x:v>JANEIRO</x:v>
      </x:c>
      <x:c r="D445" s="24" t="s">
        <x:v>227</x:v>
      </x:c>
      <x:c r="E445" s="24" t="s">
        <x:v>355</x:v>
      </x:c>
      <x:c r="F445" s="24" t="s">
        <x:v>314</x:v>
      </x:c>
      <x:c r="G445" s="44">
        <x:v>-130</x:v>
      </x:c>
      <x:c r="H445" s="24" t="s">
        <x:v>82</x:v>
      </x:c>
      <x:c r="I445" s="24" t="s">
        <x:v>311</x:v>
      </x:c>
      <x:c r="J445" s="24" t="s">
        <x:v>380</x:v>
      </x:c>
      <x:c r="K445" s="22" t="s">
        <x:v>11</x:v>
      </x:c>
    </x:row>
    <x:row r="446" hidden="1">
      <x:c r="A446" s="24" t="s">
        <x:v>315</x:v>
      </x:c>
      <x:c r="B446" s="25">
        <x:v>46023</x:v>
      </x:c>
      <x:c r="C446" s="45" t="str">
        <x:f t="shared" si="6"/>
        <x:v>JANEIRO</x:v>
      </x:c>
      <x:c r="D446" s="24" t="s">
        <x:v>162</x:v>
      </x:c>
      <x:c r="E446" s="24" t="s">
        <x:v>23</x:v>
      </x:c>
      <x:c r="F446" s="24" t="s">
        <x:v>65</x:v>
      </x:c>
      <x:c r="G446" s="44">
        <x:v>-400</x:v>
      </x:c>
      <x:c r="H446" s="24" t="s">
        <x:v>82</x:v>
      </x:c>
      <x:c r="I446" s="24" t="s">
        <x:v>311</x:v>
      </x:c>
      <x:c r="J446" s="24" t="s">
        <x:v>380</x:v>
      </x:c>
      <x:c r="K446" s="22" t="s">
        <x:v>11</x:v>
      </x:c>
    </x:row>
    <x:row r="447" hidden="1">
      <x:c r="A447" s="24" t="s">
        <x:v>366</x:v>
      </x:c>
      <x:c r="B447" s="25">
        <x:v>46023</x:v>
      </x:c>
      <x:c r="C447" s="45" t="str">
        <x:f t="shared" si="6"/>
        <x:v>JANEIRO</x:v>
      </x:c>
      <x:c r="D447" s="30" t="s">
        <x:v>173</x:v>
      </x:c>
      <x:c r="E447" s="24" t="s">
        <x:v>23</x:v>
      </x:c>
      <x:c r="F447" s="24" t="s">
        <x:v>65</x:v>
      </x:c>
      <x:c r="G447" s="44">
        <x:v>-504</x:v>
      </x:c>
      <x:c r="H447" s="24" t="s">
        <x:v>82</x:v>
      </x:c>
      <x:c r="I447" s="24" t="s">
        <x:v>311</x:v>
      </x:c>
      <x:c r="J447" s="24" t="s">
        <x:v>380</x:v>
      </x:c>
      <x:c r="K447" s="22" t="s">
        <x:v>11</x:v>
      </x:c>
    </x:row>
    <x:row r="448" hidden="1">
      <x:c r="A448" s="24" t="s">
        <x:v>357</x:v>
      </x:c>
      <x:c r="B448" s="25">
        <x:v>46023</x:v>
      </x:c>
      <x:c r="C448" s="45" t="str">
        <x:f t="shared" si="6"/>
        <x:v>JANEIRO</x:v>
      </x:c>
      <x:c r="D448" s="24" t="s">
        <x:v>227</x:v>
      </x:c>
      <x:c r="E448" s="24" t="s">
        <x:v>10</x:v>
      </x:c>
      <x:c r="F448" s="24" t="s">
        <x:v>314</x:v>
      </x:c>
      <x:c r="G448" s="44">
        <x:v>-130</x:v>
      </x:c>
      <x:c r="H448" s="24" t="s">
        <x:v>82</x:v>
      </x:c>
      <x:c r="I448" s="24" t="s">
        <x:v>311</x:v>
      </x:c>
      <x:c r="J448" s="24" t="s">
        <x:v>380</x:v>
      </x:c>
      <x:c r="K448" s="22" t="s">
        <x:v>11</x:v>
      </x:c>
    </x:row>
    <x:row r="449" hidden="1">
      <x:c r="A449" s="24" t="s">
        <x:v>381</x:v>
      </x:c>
      <x:c r="B449" s="25">
        <x:v>46023</x:v>
      </x:c>
      <x:c r="C449" s="45" t="str">
        <x:f t="shared" si="6"/>
        <x:v>JANEIRO</x:v>
      </x:c>
      <x:c r="D449" s="24" t="s">
        <x:v>89</x:v>
      </x:c>
      <x:c r="E449" s="24" t="s">
        <x:v>344</x:v>
      </x:c>
      <x:c r="F449" s="24" t="s">
        <x:v>65</x:v>
      </x:c>
      <x:c r="G449" s="44">
        <x:v>9919</x:v>
      </x:c>
      <x:c r="H449" s="24" t="s">
        <x:v>91</x:v>
      </x:c>
      <x:c r="I449" s="24" t="s">
        <x:v>311</x:v>
      </x:c>
      <x:c r="J449" s="24" t="s">
        <x:v>380</x:v>
      </x:c>
      <x:c r="K449" s="22" t="s">
        <x:v>11</x:v>
      </x:c>
    </x:row>
    <x:row r="450" hidden="1">
      <x:c r="A450" s="24" t="s">
        <x:v>315</x:v>
      </x:c>
      <x:c r="B450" s="25">
        <x:v>46023</x:v>
      </x:c>
      <x:c r="C450" s="45" t="str">
        <x:f t="shared" ref="C450:C513" si="7">UPPER(TEXT(B450,"MMMM"))</x:f>
        <x:v>JANUARY</x:v>
      </x:c>
      <x:c r="D450" s="24" t="s">
        <x:v>162</x:v>
      </x:c>
      <x:c r="E450" s="24" t="s">
        <x:v>13</x:v>
      </x:c>
      <x:c r="F450" s="24" t="s">
        <x:v>59</x:v>
      </x:c>
      <x:c r="G450" s="44">
        <x:v>-400</x:v>
      </x:c>
      <x:c r="H450" s="24" t="s">
        <x:v>82</x:v>
      </x:c>
      <x:c r="I450" s="24" t="s">
        <x:v>311</x:v>
      </x:c>
      <x:c r="J450" s="24" t="s">
        <x:v>382</x:v>
      </x:c>
      <x:c r="K450" s="22" t="s">
        <x:v>11</x:v>
      </x:c>
    </x:row>
    <x:row r="451" hidden="1">
      <x:c r="A451" s="24" t="s">
        <x:v>383</x:v>
      </x:c>
      <x:c r="B451" s="25">
        <x:v>46023</x:v>
      </x:c>
      <x:c r="C451" s="45" t="str">
        <x:f t="shared" si="7"/>
        <x:v>JANEIRO</x:v>
      </x:c>
      <x:c r="D451" s="24" t="s">
        <x:v>89</x:v>
      </x:c>
      <x:c r="E451" s="24" t="s">
        <x:v>384</x:v>
      </x:c>
      <x:c r="F451" s="24" t="s">
        <x:v>59</x:v>
      </x:c>
      <x:c r="G451" s="44">
        <x:v>12240.7</x:v>
      </x:c>
      <x:c r="H451" s="24" t="s">
        <x:v>91</x:v>
      </x:c>
      <x:c r="I451" s="24" t="s">
        <x:v>311</x:v>
      </x:c>
      <x:c r="J451" s="24" t="s">
        <x:v>382</x:v>
      </x:c>
      <x:c r="K451" s="22" t="s">
        <x:v>11</x:v>
      </x:c>
    </x:row>
    <x:row r="452" hidden="1">
      <x:c r="A452" s="30" t="s">
        <x:v>112</x:v>
      </x:c>
      <x:c r="B452" s="25">
        <x:v>46023</x:v>
      </x:c>
      <x:c r="C452" s="45" t="str">
        <x:f t="shared" si="7"/>
        <x:v>JANEIRO</x:v>
      </x:c>
      <x:c r="D452" s="24" t="s">
        <x:v>112</x:v>
      </x:c>
      <x:c r="E452" s="24" t="s">
        <x:v>341</x:v>
      </x:c>
      <x:c r="F452" s="24" t="s">
        <x:v>385</x:v>
      </x:c>
      <x:c r="G452" s="44">
        <x:v>-3709.16</x:v>
      </x:c>
      <x:c r="H452" s="24" t="s">
        <x:v>82</x:v>
      </x:c>
      <x:c r="I452" s="24" t="s">
        <x:v>311</x:v>
      </x:c>
      <x:c r="J452" s="24" t="s">
        <x:v>386</x:v>
      </x:c>
      <x:c r="K452" s="22" t="s">
        <x:v>11</x:v>
      </x:c>
    </x:row>
    <x:row r="453" hidden="1">
      <x:c r="A453" s="24" t="s">
        <x:v>357</x:v>
      </x:c>
      <x:c r="B453" s="25">
        <x:v>46023</x:v>
      </x:c>
      <x:c r="C453" s="45" t="str">
        <x:f t="shared" si="7"/>
        <x:v>JANEIRO</x:v>
      </x:c>
      <x:c r="D453" s="24" t="s">
        <x:v>227</x:v>
      </x:c>
      <x:c r="E453" s="24" t="s">
        <x:v>355</x:v>
      </x:c>
      <x:c r="F453" s="24" t="s">
        <x:v>314</x:v>
      </x:c>
      <x:c r="G453" s="44">
        <x:v>-853.75</x:v>
      </x:c>
      <x:c r="H453" s="24" t="s">
        <x:v>82</x:v>
      </x:c>
      <x:c r="I453" s="24" t="s">
        <x:v>387</x:v>
      </x:c>
      <x:c r="J453" s="24" t="s">
        <x:v>386</x:v>
      </x:c>
      <x:c r="K453" s="22" t="s">
        <x:v>11</x:v>
      </x:c>
    </x:row>
    <x:row r="454" hidden="1">
      <x:c r="A454" s="24" t="s">
        <x:v>325</x:v>
      </x:c>
      <x:c r="B454" s="25">
        <x:v>46023</x:v>
      </x:c>
      <x:c r="C454" s="45" t="str">
        <x:f t="shared" si="7"/>
        <x:v>JANEIRO</x:v>
      </x:c>
      <x:c r="D454" s="24" t="s">
        <x:v>227</x:v>
      </x:c>
      <x:c r="E454" s="24" t="s">
        <x:v>355</x:v>
      </x:c>
      <x:c r="F454" s="24" t="s">
        <x:v>314</x:v>
      </x:c>
      <x:c r="G454" s="44">
        <x:v>-327.10000000000002</x:v>
      </x:c>
      <x:c r="H454" s="24" t="s">
        <x:v>82</x:v>
      </x:c>
      <x:c r="I454" s="24" t="s">
        <x:v>387</x:v>
      </x:c>
      <x:c r="J454" s="24" t="s">
        <x:v>386</x:v>
      </x:c>
      <x:c r="K454" s="22" t="s">
        <x:v>11</x:v>
      </x:c>
    </x:row>
    <x:row r="455" hidden="1">
      <x:c r="A455" s="24" t="s">
        <x:v>357</x:v>
      </x:c>
      <x:c r="B455" s="25">
        <x:v>46023</x:v>
      </x:c>
      <x:c r="C455" s="45" t="str">
        <x:f t="shared" si="7"/>
        <x:v>JANEIRO</x:v>
      </x:c>
      <x:c r="D455" s="24" t="s">
        <x:v>227</x:v>
      </x:c>
      <x:c r="E455" s="24" t="s">
        <x:v>388</x:v>
      </x:c>
      <x:c r="F455" s="24" t="s">
        <x:v>389</x:v>
      </x:c>
      <x:c r="G455" s="44">
        <x:v>-128.94</x:v>
      </x:c>
      <x:c r="H455" s="24" t="s">
        <x:v>82</x:v>
      </x:c>
      <x:c r="I455" s="24" t="s">
        <x:v>387</x:v>
      </x:c>
      <x:c r="J455" s="24" t="s">
        <x:v>386</x:v>
      </x:c>
      <x:c r="K455" s="22" t="s">
        <x:v>11</x:v>
      </x:c>
    </x:row>
    <x:row r="456" hidden="1">
      <x:c r="A456" s="24" t="s">
        <x:v>357</x:v>
      </x:c>
      <x:c r="B456" s="25">
        <x:v>46023</x:v>
      </x:c>
      <x:c r="C456" s="45" t="str">
        <x:f t="shared" si="7"/>
        <x:v>JANEIRO</x:v>
      </x:c>
      <x:c r="D456" s="24" t="s">
        <x:v>227</x:v>
      </x:c>
      <x:c r="E456" s="24" t="s">
        <x:v>355</x:v>
      </x:c>
      <x:c r="F456" s="24" t="s">
        <x:v>59</x:v>
      </x:c>
      <x:c r="G456" s="44">
        <x:v>-513.14</x:v>
      </x:c>
      <x:c r="H456" s="24" t="s">
        <x:v>82</x:v>
      </x:c>
      <x:c r="I456" s="24" t="s">
        <x:v>311</x:v>
      </x:c>
      <x:c r="J456" s="24" t="s">
        <x:v>386</x:v>
      </x:c>
      <x:c r="K456" s="22" t="s">
        <x:v>11</x:v>
      </x:c>
    </x:row>
    <x:row r="457" hidden="1">
      <x:c r="A457" s="24" t="s">
        <x:v>357</x:v>
      </x:c>
      <x:c r="B457" s="25">
        <x:v>46023</x:v>
      </x:c>
      <x:c r="C457" s="45" t="str">
        <x:f t="shared" si="7"/>
        <x:v>JANEIRO</x:v>
      </x:c>
      <x:c r="D457" s="24" t="s">
        <x:v>227</x:v>
      </x:c>
      <x:c r="E457" s="24" t="s">
        <x:v>355</x:v>
      </x:c>
      <x:c r="F457" s="24" t="s">
        <x:v>59</x:v>
      </x:c>
      <x:c r="G457" s="44">
        <x:v>-115.25</x:v>
      </x:c>
      <x:c r="H457" s="24" t="s">
        <x:v>82</x:v>
      </x:c>
      <x:c r="I457" s="24" t="s">
        <x:v>311</x:v>
      </x:c>
      <x:c r="J457" s="24" t="s">
        <x:v>386</x:v>
      </x:c>
      <x:c r="K457" s="22" t="s">
        <x:v>11</x:v>
      </x:c>
    </x:row>
    <x:row r="458" hidden="1">
      <x:c r="A458" s="24" t="s">
        <x:v>390</x:v>
      </x:c>
      <x:c r="B458" s="25">
        <x:v>46023</x:v>
      </x:c>
      <x:c r="C458" s="45" t="str">
        <x:f t="shared" si="7"/>
        <x:v>JANEIRO</x:v>
      </x:c>
      <x:c r="D458" s="24" t="s">
        <x:v>110</x:v>
      </x:c>
      <x:c r="E458" s="24" t="s">
        <x:v>391</x:v>
      </x:c>
      <x:c r="F458" s="24" t="s">
        <x:v>314</x:v>
      </x:c>
      <x:c r="G458" s="44">
        <x:v>-10445.138000000001</x:v>
      </x:c>
      <x:c r="H458" s="24" t="s">
        <x:v>82</x:v>
      </x:c>
      <x:c r="I458" s="24" t="s">
        <x:v>311</x:v>
      </x:c>
      <x:c r="J458" s="24" t="s">
        <x:v>386</x:v>
      </x:c>
      <x:c r="K458" s="22" t="s">
        <x:v>11</x:v>
      </x:c>
    </x:row>
    <x:row r="459" hidden="1">
      <x:c r="A459" s="24" t="s">
        <x:v>390</x:v>
      </x:c>
      <x:c r="B459" s="25">
        <x:v>46023</x:v>
      </x:c>
      <x:c r="C459" s="45" t="str">
        <x:f t="shared" si="7"/>
        <x:v>JANEIRO</x:v>
      </x:c>
      <x:c r="D459" s="24" t="s">
        <x:v>110</x:v>
      </x:c>
      <x:c r="E459" s="24" t="s">
        <x:v>391</x:v>
      </x:c>
      <x:c r="F459" s="24" t="s">
        <x:v>59</x:v>
      </x:c>
      <x:c r="G459" s="44">
        <x:v>-10445.138000000001</x:v>
      </x:c>
      <x:c r="H459" s="24" t="s">
        <x:v>82</x:v>
      </x:c>
      <x:c r="I459" s="24" t="s">
        <x:v>311</x:v>
      </x:c>
      <x:c r="J459" s="24" t="s">
        <x:v>386</x:v>
      </x:c>
      <x:c r="K459" s="22" t="s">
        <x:v>11</x:v>
      </x:c>
    </x:row>
    <x:row r="460" hidden="1">
      <x:c r="A460" s="24" t="s">
        <x:v>390</x:v>
      </x:c>
      <x:c r="B460" s="25">
        <x:v>46023</x:v>
      </x:c>
      <x:c r="C460" s="45" t="str">
        <x:f t="shared" si="7"/>
        <x:v>JANEIRO</x:v>
      </x:c>
      <x:c r="D460" s="24" t="s">
        <x:v>110</x:v>
      </x:c>
      <x:c r="E460" s="24" t="s">
        <x:v>391</x:v>
      </x:c>
      <x:c r="F460" s="24" t="s">
        <x:v>44</x:v>
      </x:c>
      <x:c r="G460" s="44">
        <x:v>-10445.138000000001</x:v>
      </x:c>
      <x:c r="H460" s="24" t="s">
        <x:v>82</x:v>
      </x:c>
      <x:c r="I460" s="24" t="s">
        <x:v>311</x:v>
      </x:c>
      <x:c r="J460" s="24" t="s">
        <x:v>386</x:v>
      </x:c>
      <x:c r="K460" s="22" t="s">
        <x:v>11</x:v>
      </x:c>
    </x:row>
    <x:row r="461" hidden="1">
      <x:c r="A461" s="24" t="s">
        <x:v>390</x:v>
      </x:c>
      <x:c r="B461" s="25">
        <x:v>46023</x:v>
      </x:c>
      <x:c r="C461" s="45" t="str">
        <x:f t="shared" si="7"/>
        <x:v>JANEIRO</x:v>
      </x:c>
      <x:c r="D461" s="24" t="s">
        <x:v>110</x:v>
      </x:c>
      <x:c r="E461" s="24" t="s">
        <x:v>391</x:v>
      </x:c>
      <x:c r="F461" s="24" t="s">
        <x:v>65</x:v>
      </x:c>
      <x:c r="G461" s="44">
        <x:v>-10445.138000000001</x:v>
      </x:c>
      <x:c r="H461" s="24" t="s">
        <x:v>82</x:v>
      </x:c>
      <x:c r="I461" s="24" t="s">
        <x:v>311</x:v>
      </x:c>
      <x:c r="J461" s="24" t="s">
        <x:v>386</x:v>
      </x:c>
      <x:c r="K461" s="22" t="s">
        <x:v>11</x:v>
      </x:c>
    </x:row>
    <x:row r="462" hidden="1">
      <x:c r="A462" s="24" t="s">
        <x:v>390</x:v>
      </x:c>
      <x:c r="B462" s="25">
        <x:v>46023</x:v>
      </x:c>
      <x:c r="C462" s="45" t="str">
        <x:f t="shared" si="7"/>
        <x:v>JANEIRO</x:v>
      </x:c>
      <x:c r="D462" s="24" t="s">
        <x:v>110</x:v>
      </x:c>
      <x:c r="E462" s="24" t="s">
        <x:v>391</x:v>
      </x:c>
      <x:c r="F462" s="24" t="s">
        <x:v>66</x:v>
      </x:c>
      <x:c r="G462" s="44">
        <x:v>-10445.138000000001</x:v>
      </x:c>
      <x:c r="H462" s="24" t="s">
        <x:v>82</x:v>
      </x:c>
      <x:c r="I462" s="24" t="s">
        <x:v>311</x:v>
      </x:c>
      <x:c r="J462" s="24" t="s">
        <x:v>386</x:v>
      </x:c>
      <x:c r="K462" s="22" t="s">
        <x:v>11</x:v>
      </x:c>
    </x:row>
    <x:row r="463" hidden="1">
      <x:c r="A463" s="24" t="s">
        <x:v>325</x:v>
      </x:c>
      <x:c r="B463" s="25">
        <x:v>46023</x:v>
      </x:c>
      <x:c r="C463" s="45" t="str">
        <x:f t="shared" si="7"/>
        <x:v>JANEIRO</x:v>
      </x:c>
      <x:c r="D463" s="24" t="s">
        <x:v>227</x:v>
      </x:c>
      <x:c r="E463" s="24" t="s">
        <x:v>392</x:v>
      </x:c>
      <x:c r="F463" s="24" t="s">
        <x:v>393</x:v>
      </x:c>
      <x:c r="G463" s="44">
        <x:v>-415</x:v>
      </x:c>
      <x:c r="H463" s="24" t="s">
        <x:v>82</x:v>
      </x:c>
      <x:c r="I463" s="24" t="s">
        <x:v>311</x:v>
      </x:c>
      <x:c r="J463" s="24" t="s">
        <x:v>386</x:v>
      </x:c>
      <x:c r="K463" s="22" t="s">
        <x:v>11</x:v>
      </x:c>
    </x:row>
    <x:row r="464" hidden="1">
      <x:c r="A464" s="24" t="s">
        <x:v>394</x:v>
      </x:c>
      <x:c r="B464" s="25">
        <x:v>46023</x:v>
      </x:c>
      <x:c r="C464" s="45" t="str">
        <x:f t="shared" si="7"/>
        <x:v>JANEIRO</x:v>
      </x:c>
      <x:c r="D464" s="24" t="s">
        <x:v>89</x:v>
      </x:c>
      <x:c r="E464" s="24" t="s">
        <x:v>323</x:v>
      </x:c>
      <x:c r="F464" s="24" t="s">
        <x:v>44</x:v>
      </x:c>
      <x:c r="G464" s="44">
        <x:v>12033.6</x:v>
      </x:c>
      <x:c r="H464" s="24" t="s">
        <x:v>91</x:v>
      </x:c>
      <x:c r="I464" s="24" t="s">
        <x:v>311</x:v>
      </x:c>
      <x:c r="J464" s="24" t="s">
        <x:v>386</x:v>
      </x:c>
      <x:c r="K464" s="22" t="s">
        <x:v>11</x:v>
      </x:c>
    </x:row>
    <x:row r="465" hidden="1">
      <x:c r="A465" s="24" t="s">
        <x:v>315</x:v>
      </x:c>
      <x:c r="B465" s="25">
        <x:v>46023</x:v>
      </x:c>
      <x:c r="C465" s="45" t="str">
        <x:f t="shared" si="7"/>
        <x:v>JANEIRO</x:v>
      </x:c>
      <x:c r="D465" s="24" t="s">
        <x:v>162</x:v>
      </x:c>
      <x:c r="E465" s="24" t="s">
        <x:v>317</x:v>
      </x:c>
      <x:c r="F465" s="24" t="s">
        <x:v>44</x:v>
      </x:c>
      <x:c r="G465" s="44">
        <x:v>-400</x:v>
      </x:c>
      <x:c r="H465" s="24" t="s">
        <x:v>82</x:v>
      </x:c>
      <x:c r="I465" s="24" t="s">
        <x:v>311</x:v>
      </x:c>
      <x:c r="J465" s="24" t="s">
        <x:v>386</x:v>
      </x:c>
      <x:c r="K465" s="22" t="s">
        <x:v>11</x:v>
      </x:c>
    </x:row>
    <x:row r="466" hidden="1">
      <x:c r="A466" s="24" t="s">
        <x:v>395</x:v>
      </x:c>
      <x:c r="B466" s="25">
        <x:v>46023</x:v>
      </x:c>
      <x:c r="C466" s="45" t="str">
        <x:f t="shared" si="7"/>
        <x:v>JANEIRO</x:v>
      </x:c>
      <x:c r="D466" s="24" t="s">
        <x:v>89</x:v>
      </x:c>
      <x:c r="E466" s="24" t="s">
        <x:v>396</x:v>
      </x:c>
      <x:c r="F466" s="24" t="s">
        <x:v>314</x:v>
      </x:c>
      <x:c r="G466" s="44">
        <x:v>13090.9</x:v>
      </x:c>
      <x:c r="H466" s="24" t="s">
        <x:v>91</x:v>
      </x:c>
      <x:c r="I466" s="24" t="s">
        <x:v>311</x:v>
      </x:c>
      <x:c r="J466" s="24" t="s">
        <x:v>386</x:v>
      </x:c>
      <x:c r="K466" s="22" t="s">
        <x:v>11</x:v>
      </x:c>
    </x:row>
    <x:row r="467" hidden="1">
      <x:c r="A467" s="24" t="s">
        <x:v>315</x:v>
      </x:c>
      <x:c r="B467" s="25">
        <x:v>46023</x:v>
      </x:c>
      <x:c r="C467" s="45" t="str">
        <x:f t="shared" si="7"/>
        <x:v>JANEIRO</x:v>
      </x:c>
      <x:c r="D467" s="24" t="s">
        <x:v>162</x:v>
      </x:c>
      <x:c r="E467" s="24" t="s">
        <x:v>10</x:v>
      </x:c>
      <x:c r="F467" s="24" t="s">
        <x:v>314</x:v>
      </x:c>
      <x:c r="G467" s="44">
        <x:v>-400</x:v>
      </x:c>
      <x:c r="H467" s="24" t="s">
        <x:v>82</x:v>
      </x:c>
      <x:c r="I467" s="24" t="s">
        <x:v>311</x:v>
      </x:c>
      <x:c r="J467" s="24" t="s">
        <x:v>386</x:v>
      </x:c>
      <x:c r="K467" s="22" t="s">
        <x:v>11</x:v>
      </x:c>
    </x:row>
    <x:row r="468" hidden="1">
      <x:c r="A468" s="24" t="s">
        <x:v>397</x:v>
      </x:c>
      <x:c r="B468" s="25">
        <x:v>46023</x:v>
      </x:c>
      <x:c r="C468" s="45" t="str">
        <x:f t="shared" si="7"/>
        <x:v>JANEIRO</x:v>
      </x:c>
      <x:c r="D468" s="24" t="s">
        <x:v>398</x:v>
      </x:c>
      <x:c r="E468" s="24" t="s">
        <x:v>183</x:v>
      </x:c>
      <x:c r="F468" s="24" t="s">
        <x:v>314</x:v>
      </x:c>
      <x:c r="G468" s="44">
        <x:v>-2500</x:v>
      </x:c>
      <x:c r="H468" s="24" t="s">
        <x:v>82</x:v>
      </x:c>
      <x:c r="I468" s="24" t="s">
        <x:v>311</x:v>
      </x:c>
      <x:c r="J468" s="24" t="s">
        <x:v>399</x:v>
      </x:c>
      <x:c r="K468" s="22" t="s">
        <x:v>11</x:v>
      </x:c>
    </x:row>
    <x:row r="469" hidden="1">
      <x:c r="A469" s="24" t="s">
        <x:v>397</x:v>
      </x:c>
      <x:c r="B469" s="25">
        <x:v>46023</x:v>
      </x:c>
      <x:c r="C469" s="45" t="str">
        <x:f t="shared" si="7"/>
        <x:v>JANEIRO</x:v>
      </x:c>
      <x:c r="D469" s="24" t="s">
        <x:v>398</x:v>
      </x:c>
      <x:c r="E469" s="24" t="s">
        <x:v>183</x:v>
      </x:c>
      <x:c r="F469" s="24" t="s">
        <x:v>59</x:v>
      </x:c>
      <x:c r="G469" s="44">
        <x:v>-2500</x:v>
      </x:c>
      <x:c r="H469" s="24" t="s">
        <x:v>82</x:v>
      </x:c>
      <x:c r="I469" s="24" t="s">
        <x:v>311</x:v>
      </x:c>
      <x:c r="J469" s="24" t="s">
        <x:v>399</x:v>
      </x:c>
      <x:c r="K469" s="22" t="s">
        <x:v>11</x:v>
      </x:c>
    </x:row>
    <x:row r="470" hidden="1">
      <x:c r="A470" s="24" t="s">
        <x:v>397</x:v>
      </x:c>
      <x:c r="B470" s="25">
        <x:v>46023</x:v>
      </x:c>
      <x:c r="C470" s="45" t="str">
        <x:f t="shared" si="7"/>
        <x:v>JANEIRO</x:v>
      </x:c>
      <x:c r="D470" s="24" t="s">
        <x:v>398</x:v>
      </x:c>
      <x:c r="E470" s="24" t="s">
        <x:v>183</x:v>
      </x:c>
      <x:c r="F470" s="24" t="s">
        <x:v>66</x:v>
      </x:c>
      <x:c r="G470" s="44">
        <x:v>-2500</x:v>
      </x:c>
      <x:c r="H470" s="24" t="s">
        <x:v>82</x:v>
      </x:c>
      <x:c r="I470" s="24" t="s">
        <x:v>311</x:v>
      </x:c>
      <x:c r="J470" s="24" t="s">
        <x:v>399</x:v>
      </x:c>
      <x:c r="K470" s="22" t="s">
        <x:v>11</x:v>
      </x:c>
    </x:row>
    <x:row r="471" hidden="1">
      <x:c r="A471" s="24" t="s">
        <x:v>397</x:v>
      </x:c>
      <x:c r="B471" s="25">
        <x:v>46023</x:v>
      </x:c>
      <x:c r="C471" s="45" t="str">
        <x:f t="shared" si="7"/>
        <x:v>JANEIRO</x:v>
      </x:c>
      <x:c r="D471" s="24" t="s">
        <x:v>398</x:v>
      </x:c>
      <x:c r="E471" s="24" t="s">
        <x:v>183</x:v>
      </x:c>
      <x:c r="F471" s="24" t="s">
        <x:v>44</x:v>
      </x:c>
      <x:c r="G471" s="44">
        <x:v>-2500</x:v>
      </x:c>
      <x:c r="H471" s="24" t="s">
        <x:v>82</x:v>
      </x:c>
      <x:c r="I471" s="24" t="s">
        <x:v>311</x:v>
      </x:c>
      <x:c r="J471" s="24" t="s">
        <x:v>399</x:v>
      </x:c>
      <x:c r="K471" s="22" t="s">
        <x:v>11</x:v>
      </x:c>
    </x:row>
    <x:row r="472" hidden="1">
      <x:c r="A472" s="24" t="s">
        <x:v>397</x:v>
      </x:c>
      <x:c r="B472" s="25">
        <x:v>46023</x:v>
      </x:c>
      <x:c r="C472" s="45" t="str">
        <x:f t="shared" si="7"/>
        <x:v>JANEIRO</x:v>
      </x:c>
      <x:c r="D472" s="24" t="s">
        <x:v>398</x:v>
      </x:c>
      <x:c r="E472" s="24" t="s">
        <x:v>183</x:v>
      </x:c>
      <x:c r="F472" s="24" t="s">
        <x:v>65</x:v>
      </x:c>
      <x:c r="G472" s="44">
        <x:v>-2500</x:v>
      </x:c>
      <x:c r="H472" s="24" t="s">
        <x:v>82</x:v>
      </x:c>
      <x:c r="I472" s="24" t="s">
        <x:v>311</x:v>
      </x:c>
      <x:c r="J472" s="24" t="s">
        <x:v>399</x:v>
      </x:c>
      <x:c r="K472" s="22" t="s">
        <x:v>11</x:v>
      </x:c>
    </x:row>
    <x:row r="473" hidden="1">
      <x:c r="A473" s="24" t="s">
        <x:v>309</x:v>
      </x:c>
      <x:c r="B473" s="25">
        <x:v>46023</x:v>
      </x:c>
      <x:c r="C473" s="45" t="str">
        <x:f t="shared" si="7"/>
        <x:v>JANEIRO</x:v>
      </x:c>
      <x:c r="D473" s="24" t="s">
        <x:v>227</x:v>
      </x:c>
      <x:c r="E473" s="24" t="s">
        <x:v>400</x:v>
      </x:c>
      <x:c r="F473" s="24" t="s">
        <x:v>66</x:v>
      </x:c>
      <x:c r="G473" s="44">
        <x:v>-2235.4699999999998</x:v>
      </x:c>
      <x:c r="H473" s="24" t="s">
        <x:v>82</x:v>
      </x:c>
      <x:c r="I473" s="24" t="s">
        <x:v>311</x:v>
      </x:c>
      <x:c r="J473" s="24" t="s">
        <x:v>399</x:v>
      </x:c>
      <x:c r="K473" s="22" t="s">
        <x:v>11</x:v>
      </x:c>
    </x:row>
    <x:row r="474" hidden="1">
      <x:c r="A474" s="24" t="s">
        <x:v>309</x:v>
      </x:c>
      <x:c r="B474" s="25">
        <x:v>46023</x:v>
      </x:c>
      <x:c r="C474" s="45" t="str">
        <x:f t="shared" si="7"/>
        <x:v>JANEIRO</x:v>
      </x:c>
      <x:c r="D474" s="24" t="s">
        <x:v>227</x:v>
      </x:c>
      <x:c r="E474" s="24" t="s">
        <x:v>313</x:v>
      </x:c>
      <x:c r="F474" s="24" t="s">
        <x:v>314</x:v>
      </x:c>
      <x:c r="G474" s="44">
        <x:v>-6932.1940000000004</x:v>
      </x:c>
      <x:c r="H474" s="24" t="s">
        <x:v>82</x:v>
      </x:c>
      <x:c r="I474" s="24" t="s">
        <x:v>311</x:v>
      </x:c>
      <x:c r="J474" s="24" t="s">
        <x:v>399</x:v>
      </x:c>
      <x:c r="K474" s="22" t="s">
        <x:v>11</x:v>
      </x:c>
    </x:row>
    <x:row r="475" hidden="1">
      <x:c r="A475" s="24" t="s">
        <x:v>309</x:v>
      </x:c>
      <x:c r="B475" s="25">
        <x:v>46023</x:v>
      </x:c>
      <x:c r="C475" s="45" t="str">
        <x:f t="shared" si="7"/>
        <x:v>JANEIRO</x:v>
      </x:c>
      <x:c r="D475" s="24" t="s">
        <x:v>227</x:v>
      </x:c>
      <x:c r="E475" s="24" t="s">
        <x:v>313</x:v>
      </x:c>
      <x:c r="F475" s="24" t="s">
        <x:v>44</x:v>
      </x:c>
      <x:c r="G475" s="44">
        <x:v>-6932.1940000000004</x:v>
      </x:c>
      <x:c r="H475" s="24" t="s">
        <x:v>82</x:v>
      </x:c>
      <x:c r="I475" s="24" t="s">
        <x:v>311</x:v>
      </x:c>
      <x:c r="J475" s="24" t="s">
        <x:v>399</x:v>
      </x:c>
      <x:c r="K475" s="22" t="s">
        <x:v>11</x:v>
      </x:c>
    </x:row>
    <x:row r="476" hidden="1">
      <x:c r="A476" s="24" t="s">
        <x:v>309</x:v>
      </x:c>
      <x:c r="B476" s="25">
        <x:v>46023</x:v>
      </x:c>
      <x:c r="C476" s="45" t="str">
        <x:f t="shared" si="7"/>
        <x:v>JANEIRO</x:v>
      </x:c>
      <x:c r="D476" s="24" t="s">
        <x:v>227</x:v>
      </x:c>
      <x:c r="E476" s="24" t="s">
        <x:v>313</x:v>
      </x:c>
      <x:c r="F476" s="24" t="s">
        <x:v>59</x:v>
      </x:c>
      <x:c r="G476" s="44">
        <x:v>-6932.1940000000004</x:v>
      </x:c>
      <x:c r="H476" s="24" t="s">
        <x:v>82</x:v>
      </x:c>
      <x:c r="I476" s="24" t="s">
        <x:v>311</x:v>
      </x:c>
      <x:c r="J476" s="24" t="s">
        <x:v>399</x:v>
      </x:c>
      <x:c r="K476" s="22" t="s">
        <x:v>11</x:v>
      </x:c>
    </x:row>
    <x:row r="477" hidden="1">
      <x:c r="A477" s="24" t="s">
        <x:v>309</x:v>
      </x:c>
      <x:c r="B477" s="25">
        <x:v>46023</x:v>
      </x:c>
      <x:c r="C477" s="45" t="str">
        <x:f t="shared" si="7"/>
        <x:v>JANEIRO</x:v>
      </x:c>
      <x:c r="D477" s="24" t="s">
        <x:v>227</x:v>
      </x:c>
      <x:c r="E477" s="24" t="s">
        <x:v>313</x:v>
      </x:c>
      <x:c r="F477" s="24" t="s">
        <x:v>66</x:v>
      </x:c>
      <x:c r="G477" s="44">
        <x:v>-6932.1940000000004</x:v>
      </x:c>
      <x:c r="H477" s="24" t="s">
        <x:v>82</x:v>
      </x:c>
      <x:c r="I477" s="24" t="s">
        <x:v>311</x:v>
      </x:c>
      <x:c r="J477" s="24" t="s">
        <x:v>399</x:v>
      </x:c>
      <x:c r="K477" s="22" t="s">
        <x:v>11</x:v>
      </x:c>
    </x:row>
    <x:row r="478" hidden="1">
      <x:c r="A478" s="24" t="s">
        <x:v>309</x:v>
      </x:c>
      <x:c r="B478" s="25">
        <x:v>46023</x:v>
      </x:c>
      <x:c r="C478" s="45" t="str">
        <x:f t="shared" si="7"/>
        <x:v>JANEIRO</x:v>
      </x:c>
      <x:c r="D478" s="24" t="s">
        <x:v>227</x:v>
      </x:c>
      <x:c r="E478" s="24" t="s">
        <x:v>313</x:v>
      </x:c>
      <x:c r="F478" s="24" t="s">
        <x:v>65</x:v>
      </x:c>
      <x:c r="G478" s="44">
        <x:v>-6932.1940000000004</x:v>
      </x:c>
      <x:c r="H478" s="24" t="s">
        <x:v>82</x:v>
      </x:c>
      <x:c r="I478" s="24" t="s">
        <x:v>311</x:v>
      </x:c>
      <x:c r="J478" s="24" t="s">
        <x:v>399</x:v>
      </x:c>
      <x:c r="K478" s="22" t="s">
        <x:v>11</x:v>
      </x:c>
    </x:row>
    <x:row r="479" hidden="1">
      <x:c r="A479" s="24" t="s">
        <x:v>315</x:v>
      </x:c>
      <x:c r="B479" s="25">
        <x:v>46023</x:v>
      </x:c>
      <x:c r="C479" s="45" t="str">
        <x:f t="shared" si="7"/>
        <x:v>JANEIRO</x:v>
      </x:c>
      <x:c r="D479" s="24" t="s">
        <x:v>162</x:v>
      </x:c>
      <x:c r="E479" s="24" t="s">
        <x:v>23</x:v>
      </x:c>
      <x:c r="F479" s="24" t="s">
        <x:v>65</x:v>
      </x:c>
      <x:c r="G479" s="44">
        <x:v>-400</x:v>
      </x:c>
      <x:c r="H479" s="24" t="s">
        <x:v>82</x:v>
      </x:c>
      <x:c r="I479" s="24" t="s">
        <x:v>311</x:v>
      </x:c>
      <x:c r="J479" s="24" t="s">
        <x:v>399</x:v>
      </x:c>
      <x:c r="K479" s="22" t="s">
        <x:v>11</x:v>
      </x:c>
    </x:row>
    <x:row r="480" hidden="1">
      <x:c r="A480" s="24" t="s">
        <x:v>401</x:v>
      </x:c>
      <x:c r="B480" s="25">
        <x:v>46023</x:v>
      </x:c>
      <x:c r="C480" s="45" t="str">
        <x:f t="shared" si="7"/>
        <x:v>JANEIRO</x:v>
      </x:c>
      <x:c r="D480" s="24" t="s">
        <x:v>89</x:v>
      </x:c>
      <x:c r="E480" s="24" t="s">
        <x:v>344</x:v>
      </x:c>
      <x:c r="F480" s="24" t="s">
        <x:v>65</x:v>
      </x:c>
      <x:c r="G480" s="44">
        <x:v>9559.2999999999993</x:v>
      </x:c>
      <x:c r="H480" s="24" t="s">
        <x:v>91</x:v>
      </x:c>
      <x:c r="I480" s="24" t="s">
        <x:v>311</x:v>
      </x:c>
      <x:c r="J480" s="24" t="s">
        <x:v>399</x:v>
      </x:c>
      <x:c r="K480" s="22" t="s">
        <x:v>11</x:v>
      </x:c>
    </x:row>
    <x:row r="481" hidden="1">
      <x:c r="A481" s="24" t="s">
        <x:v>337</x:v>
      </x:c>
      <x:c r="B481" s="25">
        <x:v>46023</x:v>
      </x:c>
      <x:c r="C481" s="45" t="str">
        <x:f t="shared" si="7"/>
        <x:v>JANEIRO</x:v>
      </x:c>
      <x:c r="D481" s="24" t="s">
        <x:v>227</x:v>
      </x:c>
      <x:c r="E481" s="24" t="s">
        <x:v>339</x:v>
      </x:c>
      <x:c r="F481" s="24" t="s">
        <x:v>59</x:v>
      </x:c>
      <x:c r="G481" s="44">
        <x:v>-3714.23</x:v>
      </x:c>
      <x:c r="H481" s="24" t="s">
        <x:v>82</x:v>
      </x:c>
      <x:c r="I481" s="24" t="s">
        <x:v>311</x:v>
      </x:c>
      <x:c r="J481" s="24" t="s">
        <x:v>402</x:v>
      </x:c>
      <x:c r="K481" s="22" t="s">
        <x:v>11</x:v>
      </x:c>
    </x:row>
    <x:row r="482" hidden="1">
      <x:c r="A482" s="24" t="s">
        <x:v>337</x:v>
      </x:c>
      <x:c r="B482" s="25">
        <x:v>46023</x:v>
      </x:c>
      <x:c r="C482" s="45" t="str">
        <x:f t="shared" si="7"/>
        <x:v>JANEIRO</x:v>
      </x:c>
      <x:c r="D482" s="24" t="s">
        <x:v>227</x:v>
      </x:c>
      <x:c r="E482" s="24" t="s">
        <x:v>339</x:v>
      </x:c>
      <x:c r="F482" s="24" t="s">
        <x:v>314</x:v>
      </x:c>
      <x:c r="G482" s="44">
        <x:v>-1696.97</x:v>
      </x:c>
      <x:c r="H482" s="24" t="s">
        <x:v>82</x:v>
      </x:c>
      <x:c r="I482" s="24" t="s">
        <x:v>311</x:v>
      </x:c>
      <x:c r="J482" s="24" t="s">
        <x:v>402</x:v>
      </x:c>
      <x:c r="K482" s="22" t="s">
        <x:v>11</x:v>
      </x:c>
    </x:row>
    <x:row r="483" hidden="1">
      <x:c r="A483" s="24" t="s">
        <x:v>403</x:v>
      </x:c>
      <x:c r="B483" s="25">
        <x:v>46023</x:v>
      </x:c>
      <x:c r="C483" s="45" t="str">
        <x:f t="shared" si="7"/>
        <x:v>JANEIRO</x:v>
      </x:c>
      <x:c r="D483" s="24" t="s">
        <x:v>89</x:v>
      </x:c>
      <x:c r="E483" s="24" t="s">
        <x:v>321</x:v>
      </x:c>
      <x:c r="F483" s="24" t="s">
        <x:v>59</x:v>
      </x:c>
      <x:c r="G483" s="44">
        <x:v>11782.9</x:v>
      </x:c>
      <x:c r="H483" s="24" t="s">
        <x:v>91</x:v>
      </x:c>
      <x:c r="I483" s="24" t="s">
        <x:v>311</x:v>
      </x:c>
      <x:c r="J483" s="24" t="s">
        <x:v>402</x:v>
      </x:c>
      <x:c r="K483" s="22" t="s">
        <x:v>11</x:v>
      </x:c>
    </x:row>
    <x:row r="484" hidden="1">
      <x:c r="A484" s="24" t="s">
        <x:v>315</x:v>
      </x:c>
      <x:c r="B484" s="25">
        <x:v>46023</x:v>
      </x:c>
      <x:c r="C484" s="45" t="str">
        <x:f t="shared" si="7"/>
        <x:v>JANEIRO</x:v>
      </x:c>
      <x:c r="D484" s="24" t="s">
        <x:v>162</x:v>
      </x:c>
      <x:c r="E484" s="24" t="s">
        <x:v>13</x:v>
      </x:c>
      <x:c r="F484" s="24" t="s">
        <x:v>59</x:v>
      </x:c>
      <x:c r="G484" s="44">
        <x:v>-400</x:v>
      </x:c>
      <x:c r="H484" s="24" t="s">
        <x:v>82</x:v>
      </x:c>
      <x:c r="I484" s="24" t="s">
        <x:v>311</x:v>
      </x:c>
      <x:c r="J484" s="24" t="s">
        <x:v>402</x:v>
      </x:c>
      <x:c r="K484" s="22" t="s">
        <x:v>11</x:v>
      </x:c>
    </x:row>
    <x:row r="485" hidden="1">
      <x:c r="A485" s="24" t="s">
        <x:v>404</x:v>
      </x:c>
      <x:c r="B485" s="25">
        <x:v>46023</x:v>
      </x:c>
      <x:c r="C485" s="45" t="str">
        <x:f t="shared" si="7"/>
        <x:v>JANEIRO</x:v>
      </x:c>
      <x:c r="D485" s="24" t="s">
        <x:v>89</x:v>
      </x:c>
      <x:c r="E485" s="24" t="s">
        <x:v>405</x:v>
      </x:c>
      <x:c r="F485" s="24" t="s">
        <x:v>44</x:v>
      </x:c>
      <x:c r="G485" s="44">
        <x:v>12055.4</x:v>
      </x:c>
      <x:c r="H485" s="24" t="s">
        <x:v>91</x:v>
      </x:c>
      <x:c r="I485" s="24" t="s">
        <x:v>311</x:v>
      </x:c>
      <x:c r="J485" s="24" t="s">
        <x:v>406</x:v>
      </x:c>
      <x:c r="K485" s="22" t="s">
        <x:v>11</x:v>
      </x:c>
    </x:row>
    <x:row r="486" hidden="1">
      <x:c r="A486" s="24" t="s">
        <x:v>315</x:v>
      </x:c>
      <x:c r="B486" s="25">
        <x:v>46023</x:v>
      </x:c>
      <x:c r="C486" s="45" t="str">
        <x:f t="shared" si="7"/>
        <x:v>JANEIRO</x:v>
      </x:c>
      <x:c r="D486" s="24" t="s">
        <x:v>162</x:v>
      </x:c>
      <x:c r="E486" s="24" t="s">
        <x:v>317</x:v>
      </x:c>
      <x:c r="F486" s="24" t="s">
        <x:v>44</x:v>
      </x:c>
      <x:c r="G486" s="44">
        <x:v>-400</x:v>
      </x:c>
      <x:c r="H486" s="24" t="s">
        <x:v>82</x:v>
      </x:c>
      <x:c r="I486" s="24" t="s">
        <x:v>311</x:v>
      </x:c>
      <x:c r="J486" s="24" t="s">
        <x:v>406</x:v>
      </x:c>
      <x:c r="K486" s="22" t="s">
        <x:v>11</x:v>
      </x:c>
    </x:row>
    <x:row r="487" hidden="1">
      <x:c r="A487" s="24" t="s">
        <x:v>325</x:v>
      </x:c>
      <x:c r="B487" s="25">
        <x:v>46023</x:v>
      </x:c>
      <x:c r="C487" s="45" t="str">
        <x:f t="shared" si="7"/>
        <x:v>JANEIRO</x:v>
      </x:c>
      <x:c r="D487" s="24" t="s">
        <x:v>227</x:v>
      </x:c>
      <x:c r="E487" s="24" t="s">
        <x:v>317</x:v>
      </x:c>
      <x:c r="F487" s="24" t="s">
        <x:v>44</x:v>
      </x:c>
      <x:c r="G487" s="44">
        <x:v>-400</x:v>
      </x:c>
      <x:c r="H487" s="24" t="s">
        <x:v>82</x:v>
      </x:c>
      <x:c r="I487" s="24" t="s">
        <x:v>311</x:v>
      </x:c>
      <x:c r="J487" s="24" t="s">
        <x:v>406</x:v>
      </x:c>
      <x:c r="K487" s="22" t="s">
        <x:v>11</x:v>
      </x:c>
    </x:row>
    <x:row r="488" hidden="1">
      <x:c r="A488" s="24" t="s">
        <x:v>315</x:v>
      </x:c>
      <x:c r="B488" s="25">
        <x:v>46023</x:v>
      </x:c>
      <x:c r="C488" s="45" t="str">
        <x:f t="shared" si="7"/>
        <x:v>JANEIRO</x:v>
      </x:c>
      <x:c r="D488" s="24" t="s">
        <x:v>162</x:v>
      </x:c>
      <x:c r="E488" s="24" t="s">
        <x:v>10</x:v>
      </x:c>
      <x:c r="F488" s="24" t="s">
        <x:v>314</x:v>
      </x:c>
      <x:c r="G488" s="44">
        <x:v>-400</x:v>
      </x:c>
      <x:c r="H488" s="24" t="s">
        <x:v>82</x:v>
      </x:c>
      <x:c r="I488" s="24" t="s">
        <x:v>311</x:v>
      </x:c>
      <x:c r="J488" s="24" t="s">
        <x:v>406</x:v>
      </x:c>
      <x:c r="K488" s="22" t="s">
        <x:v>11</x:v>
      </x:c>
    </x:row>
    <x:row r="489" hidden="1">
      <x:c r="A489" s="24" t="s">
        <x:v>407</x:v>
      </x:c>
      <x:c r="B489" s="25">
        <x:v>46023</x:v>
      </x:c>
      <x:c r="C489" s="45" t="str">
        <x:f t="shared" si="7"/>
        <x:v>JANEIRO</x:v>
      </x:c>
      <x:c r="D489" s="24" t="s">
        <x:v>89</x:v>
      </x:c>
      <x:c r="E489" s="24" t="s">
        <x:v>323</x:v>
      </x:c>
      <x:c r="F489" s="24" t="s">
        <x:v>314</x:v>
      </x:c>
      <x:c r="G489" s="44">
        <x:v>14042</x:v>
      </x:c>
      <x:c r="H489" s="24" t="s">
        <x:v>91</x:v>
      </x:c>
      <x:c r="I489" s="24" t="s">
        <x:v>311</x:v>
      </x:c>
      <x:c r="J489" s="24" t="s">
        <x:v>406</x:v>
      </x:c>
      <x:c r="K489" s="22" t="s">
        <x:v>11</x:v>
      </x:c>
    </x:row>
    <x:row r="490" hidden="1">
      <x:c r="A490" s="24" t="s">
        <x:v>309</x:v>
      </x:c>
      <x:c r="B490" s="25">
        <x:v>46023</x:v>
      </x:c>
      <x:c r="C490" s="45" t="str">
        <x:f t="shared" si="7"/>
        <x:v>JANEIRO</x:v>
      </x:c>
      <x:c r="D490" s="24" t="s">
        <x:v>227</x:v>
      </x:c>
      <x:c r="E490" s="24" t="s">
        <x:v>327</x:v>
      </x:c>
      <x:c r="F490" s="24" t="s">
        <x:v>314</x:v>
      </x:c>
      <x:c r="G490" s="44">
        <x:v>-3238.6080000000002</x:v>
      </x:c>
      <x:c r="H490" s="24" t="s">
        <x:v>82</x:v>
      </x:c>
      <x:c r="I490" s="24" t="s">
        <x:v>311</x:v>
      </x:c>
      <x:c r="J490" s="24" t="s">
        <x:v>408</x:v>
      </x:c>
      <x:c r="K490" s="22" t="s">
        <x:v>11</x:v>
      </x:c>
    </x:row>
    <x:row r="491" hidden="1">
      <x:c r="A491" s="24" t="s">
        <x:v>309</x:v>
      </x:c>
      <x:c r="B491" s="25">
        <x:v>46023</x:v>
      </x:c>
      <x:c r="C491" s="45" t="str">
        <x:f t="shared" si="7"/>
        <x:v>JANEIRO</x:v>
      </x:c>
      <x:c r="D491" s="24" t="s">
        <x:v>227</x:v>
      </x:c>
      <x:c r="E491" s="24" t="s">
        <x:v>327</x:v>
      </x:c>
      <x:c r="F491" s="24" t="s">
        <x:v>44</x:v>
      </x:c>
      <x:c r="G491" s="44">
        <x:v>-3238.6080000000002</x:v>
      </x:c>
      <x:c r="H491" s="24" t="s">
        <x:v>82</x:v>
      </x:c>
      <x:c r="I491" s="24" t="s">
        <x:v>311</x:v>
      </x:c>
      <x:c r="J491" s="24" t="s">
        <x:v>408</x:v>
      </x:c>
      <x:c r="K491" s="22" t="s">
        <x:v>11</x:v>
      </x:c>
    </x:row>
    <x:row r="492" hidden="1">
      <x:c r="A492" s="24" t="s">
        <x:v>309</x:v>
      </x:c>
      <x:c r="B492" s="25">
        <x:v>46023</x:v>
      </x:c>
      <x:c r="C492" s="45" t="str">
        <x:f t="shared" si="7"/>
        <x:v>JANEIRO</x:v>
      </x:c>
      <x:c r="D492" s="24" t="s">
        <x:v>227</x:v>
      </x:c>
      <x:c r="E492" s="24" t="s">
        <x:v>327</x:v>
      </x:c>
      <x:c r="F492" s="24" t="s">
        <x:v>59</x:v>
      </x:c>
      <x:c r="G492" s="44">
        <x:v>-3238.6080000000002</x:v>
      </x:c>
      <x:c r="H492" s="24" t="s">
        <x:v>82</x:v>
      </x:c>
      <x:c r="I492" s="24" t="s">
        <x:v>311</x:v>
      </x:c>
      <x:c r="J492" s="24" t="s">
        <x:v>408</x:v>
      </x:c>
      <x:c r="K492" s="22" t="s">
        <x:v>11</x:v>
      </x:c>
    </x:row>
    <x:row r="493" hidden="1">
      <x:c r="A493" s="24" t="s">
        <x:v>309</x:v>
      </x:c>
      <x:c r="B493" s="25">
        <x:v>46023</x:v>
      </x:c>
      <x:c r="C493" s="45" t="str">
        <x:f t="shared" si="7"/>
        <x:v>JANEIRO</x:v>
      </x:c>
      <x:c r="D493" s="24" t="s">
        <x:v>227</x:v>
      </x:c>
      <x:c r="E493" s="24" t="s">
        <x:v>327</x:v>
      </x:c>
      <x:c r="F493" s="24" t="s">
        <x:v>66</x:v>
      </x:c>
      <x:c r="G493" s="44">
        <x:v>-3238.6080000000002</x:v>
      </x:c>
      <x:c r="H493" s="24" t="s">
        <x:v>82</x:v>
      </x:c>
      <x:c r="I493" s="24" t="s">
        <x:v>311</x:v>
      </x:c>
      <x:c r="J493" s="24" t="s">
        <x:v>408</x:v>
      </x:c>
      <x:c r="K493" s="22" t="s">
        <x:v>11</x:v>
      </x:c>
    </x:row>
    <x:row r="494" hidden="1">
      <x:c r="A494" s="24" t="s">
        <x:v>309</x:v>
      </x:c>
      <x:c r="B494" s="25">
        <x:v>46023</x:v>
      </x:c>
      <x:c r="C494" s="45" t="str">
        <x:f t="shared" si="7"/>
        <x:v>JANEIRO</x:v>
      </x:c>
      <x:c r="D494" s="24" t="s">
        <x:v>227</x:v>
      </x:c>
      <x:c r="E494" s="24" t="s">
        <x:v>327</x:v>
      </x:c>
      <x:c r="F494" s="24" t="s">
        <x:v>65</x:v>
      </x:c>
      <x:c r="G494" s="44">
        <x:v>-3238.6080000000002</x:v>
      </x:c>
      <x:c r="H494" s="24" t="s">
        <x:v>82</x:v>
      </x:c>
      <x:c r="I494" s="24" t="s">
        <x:v>311</x:v>
      </x:c>
      <x:c r="J494" s="24" t="s">
        <x:v>408</x:v>
      </x:c>
      <x:c r="K494" s="22" t="s">
        <x:v>11</x:v>
      </x:c>
    </x:row>
    <x:row r="495" hidden="1">
      <x:c r="A495" s="24" t="s">
        <x:v>325</x:v>
      </x:c>
      <x:c r="B495" s="25">
        <x:v>46023</x:v>
      </x:c>
      <x:c r="C495" s="45" t="str">
        <x:f t="shared" si="7"/>
        <x:v>JANEIRO</x:v>
      </x:c>
      <x:c r="D495" s="24" t="s">
        <x:v>227</x:v>
      </x:c>
      <x:c r="E495" s="24" t="s">
        <x:v>317</x:v>
      </x:c>
      <x:c r="F495" s="24" t="s">
        <x:v>44</x:v>
      </x:c>
      <x:c r="G495" s="44">
        <x:v>-60</x:v>
      </x:c>
      <x:c r="H495" s="24" t="s">
        <x:v>82</x:v>
      </x:c>
      <x:c r="I495" s="24" t="s">
        <x:v>311</x:v>
      </x:c>
      <x:c r="J495" s="24" t="s">
        <x:v>408</x:v>
      </x:c>
      <x:c r="K495" s="22" t="s">
        <x:v>11</x:v>
      </x:c>
    </x:row>
    <x:row r="496" hidden="1">
      <x:c r="A496" s="24" t="s">
        <x:v>366</x:v>
      </x:c>
      <x:c r="B496" s="25">
        <x:v>46023</x:v>
      </x:c>
      <x:c r="C496" s="45" t="str">
        <x:f t="shared" si="7"/>
        <x:v>JANEIRO</x:v>
      </x:c>
      <x:c r="D496" s="24" t="s">
        <x:v>227</x:v>
      </x:c>
      <x:c r="E496" s="24" t="s">
        <x:v>355</x:v>
      </x:c>
      <x:c r="F496" s="24" t="s">
        <x:v>59</x:v>
      </x:c>
      <x:c r="G496" s="44">
        <x:v>-6490.96</x:v>
      </x:c>
      <x:c r="H496" s="24" t="s">
        <x:v>82</x:v>
      </x:c>
      <x:c r="I496" s="24" t="s">
        <x:v>311</x:v>
      </x:c>
      <x:c r="J496" s="24" t="s">
        <x:v>409</x:v>
      </x:c>
      <x:c r="K496" s="22" t="s">
        <x:v>11</x:v>
      </x:c>
    </x:row>
    <x:row r="497" hidden="1">
      <x:c r="A497" s="24" t="s">
        <x:v>357</x:v>
      </x:c>
      <x:c r="B497" s="25">
        <x:v>46023</x:v>
      </x:c>
      <x:c r="C497" s="45" t="str">
        <x:f t="shared" si="7"/>
        <x:v>JANEIRO</x:v>
      </x:c>
      <x:c r="D497" s="24" t="s">
        <x:v>227</x:v>
      </x:c>
      <x:c r="E497" s="24" t="s">
        <x:v>410</x:v>
      </x:c>
      <x:c r="F497" s="24" t="s">
        <x:v>314</x:v>
      </x:c>
      <x:c r="G497" s="44">
        <x:v>-1013</x:v>
      </x:c>
      <x:c r="H497" s="24" t="s">
        <x:v>82</x:v>
      </x:c>
      <x:c r="I497" s="24" t="s">
        <x:v>311</x:v>
      </x:c>
      <x:c r="J497" s="24" t="s">
        <x:v>409</x:v>
      </x:c>
      <x:c r="K497" s="22" t="s">
        <x:v>11</x:v>
      </x:c>
    </x:row>
    <x:row r="498" hidden="1">
      <x:c r="A498" s="24" t="s">
        <x:v>315</x:v>
      </x:c>
      <x:c r="B498" s="25">
        <x:v>46023</x:v>
      </x:c>
      <x:c r="C498" s="45" t="str">
        <x:f t="shared" si="7"/>
        <x:v>JANEIRO</x:v>
      </x:c>
      <x:c r="D498" s="24" t="s">
        <x:v>162</x:v>
      </x:c>
      <x:c r="E498" s="24" t="s">
        <x:v>13</x:v>
      </x:c>
      <x:c r="F498" s="24" t="s">
        <x:v>59</x:v>
      </x:c>
      <x:c r="G498" s="44">
        <x:v>-400</x:v>
      </x:c>
      <x:c r="H498" s="24" t="s">
        <x:v>82</x:v>
      </x:c>
      <x:c r="I498" s="24" t="s">
        <x:v>311</x:v>
      </x:c>
      <x:c r="J498" s="24" t="s">
        <x:v>409</x:v>
      </x:c>
      <x:c r="K498" s="22" t="s">
        <x:v>11</x:v>
      </x:c>
    </x:row>
    <x:row r="499" hidden="1">
      <x:c r="A499" s="24" t="s">
        <x:v>315</x:v>
      </x:c>
      <x:c r="B499" s="25">
        <x:v>46023</x:v>
      </x:c>
      <x:c r="C499" s="45" t="str">
        <x:f t="shared" si="7"/>
        <x:v>JANEIRO</x:v>
      </x:c>
      <x:c r="D499" s="24" t="s">
        <x:v>162</x:v>
      </x:c>
      <x:c r="E499" s="24" t="s">
        <x:v>23</x:v>
      </x:c>
      <x:c r="F499" s="24" t="s">
        <x:v>65</x:v>
      </x:c>
      <x:c r="G499" s="44">
        <x:v>-400</x:v>
      </x:c>
      <x:c r="H499" s="24" t="s">
        <x:v>82</x:v>
      </x:c>
      <x:c r="I499" s="24" t="s">
        <x:v>311</x:v>
      </x:c>
      <x:c r="J499" s="24" t="s">
        <x:v>409</x:v>
      </x:c>
      <x:c r="K499" s="22" t="s">
        <x:v>11</x:v>
      </x:c>
    </x:row>
    <x:row r="500" hidden="1">
      <x:c r="A500" s="24" t="s">
        <x:v>411</x:v>
      </x:c>
      <x:c r="B500" s="25">
        <x:v>46023</x:v>
      </x:c>
      <x:c r="C500" s="45" t="str">
        <x:f t="shared" si="7"/>
        <x:v>JANEIRO</x:v>
      </x:c>
      <x:c r="D500" s="24" t="s">
        <x:v>89</x:v>
      </x:c>
      <x:c r="E500" s="24" t="s">
        <x:v>344</x:v>
      </x:c>
      <x:c r="F500" s="24" t="s">
        <x:v>65</x:v>
      </x:c>
      <x:c r="G500" s="44">
        <x:v>9853.6</x:v>
      </x:c>
      <x:c r="H500" s="24" t="s">
        <x:v>91</x:v>
      </x:c>
      <x:c r="I500" s="24" t="s">
        <x:v>311</x:v>
      </x:c>
      <x:c r="J500" s="24" t="s">
        <x:v>409</x:v>
      </x:c>
      <x:c r="K500" s="22" t="s">
        <x:v>11</x:v>
      </x:c>
    </x:row>
    <x:row r="501" hidden="1">
      <x:c r="A501" s="24" t="s">
        <x:v>412</x:v>
      </x:c>
      <x:c r="B501" s="25">
        <x:v>46023</x:v>
      </x:c>
      <x:c r="C501" s="45" t="str">
        <x:f t="shared" si="7"/>
        <x:v>JANEIRO</x:v>
      </x:c>
      <x:c r="D501" s="24" t="s">
        <x:v>89</x:v>
      </x:c>
      <x:c r="E501" s="24" t="s">
        <x:v>413</x:v>
      </x:c>
      <x:c r="F501" s="24" t="s">
        <x:v>59</x:v>
      </x:c>
      <x:c r="G501" s="44">
        <x:v>11575.8</x:v>
      </x:c>
      <x:c r="H501" s="24" t="s">
        <x:v>91</x:v>
      </x:c>
      <x:c r="I501" s="24" t="s">
        <x:v>311</x:v>
      </x:c>
      <x:c r="J501" s="24" t="s">
        <x:v>409</x:v>
      </x:c>
      <x:c r="K501" s="22" t="s">
        <x:v>11</x:v>
      </x:c>
    </x:row>
    <x:row r="502" hidden="1">
      <x:c r="A502" s="24" t="s">
        <x:v>325</x:v>
      </x:c>
      <x:c r="B502" s="25">
        <x:v>46054</x:v>
      </x:c>
      <x:c r="C502" s="45" t="str">
        <x:f t="shared" si="7"/>
        <x:v>FEVEREIRO</x:v>
      </x:c>
      <x:c r="D502" s="24" t="s">
        <x:v>227</x:v>
      </x:c>
      <x:c r="E502" s="24" t="s">
        <x:v>331</x:v>
      </x:c>
      <x:c r="F502" s="24" t="s">
        <x:v>314</x:v>
      </x:c>
      <x:c r="G502" s="44">
        <x:v>-1000</x:v>
      </x:c>
      <x:c r="H502" s="24" t="s">
        <x:v>82</x:v>
      </x:c>
      <x:c r="I502" s="24" t="s">
        <x:v>311</x:v>
      </x:c>
      <x:c r="J502" s="24" t="s">
        <x:v>409</x:v>
      </x:c>
      <x:c r="K502" s="22" t="s">
        <x:v>11</x:v>
      </x:c>
    </x:row>
    <x:row r="503" hidden="1">
      <x:c r="A503" s="24" t="s">
        <x:v>337</x:v>
      </x:c>
      <x:c r="B503" s="25">
        <x:v>46023</x:v>
      </x:c>
      <x:c r="C503" s="45" t="str">
        <x:f t="shared" si="7"/>
        <x:v>JANEIRO</x:v>
      </x:c>
      <x:c r="D503" s="24" t="s">
        <x:v>227</x:v>
      </x:c>
      <x:c r="E503" s="24" t="s">
        <x:v>339</x:v>
      </x:c>
      <x:c r="F503" s="24" t="s">
        <x:v>44</x:v>
      </x:c>
      <x:c r="G503" s="44">
        <x:v>-1813.36</x:v>
      </x:c>
      <x:c r="H503" s="24" t="s">
        <x:v>82</x:v>
      </x:c>
      <x:c r="I503" s="24" t="s">
        <x:v>311</x:v>
      </x:c>
      <x:c r="J503" s="24" t="s">
        <x:v>414</x:v>
      </x:c>
      <x:c r="K503" s="22" t="s">
        <x:v>11</x:v>
      </x:c>
    </x:row>
    <x:row r="504" hidden="1">
      <x:c r="A504" s="24" t="s">
        <x:v>335</x:v>
      </x:c>
      <x:c r="B504" s="25">
        <x:v>46023</x:v>
      </x:c>
      <x:c r="C504" s="45" t="str">
        <x:f t="shared" si="7"/>
        <x:v>JANEIRO</x:v>
      </x:c>
      <x:c r="D504" s="24" t="s">
        <x:v>132</x:v>
      </x:c>
      <x:c r="E504" s="24" t="s">
        <x:v>336</x:v>
      </x:c>
      <x:c r="F504" s="24" t="s">
        <x:v>44</x:v>
      </x:c>
      <x:c r="G504" s="44">
        <x:v>-2487.64</x:v>
      </x:c>
      <x:c r="H504" s="24" t="s">
        <x:v>82</x:v>
      </x:c>
      <x:c r="I504" s="24" t="s">
        <x:v>311</x:v>
      </x:c>
      <x:c r="J504" s="24" t="s">
        <x:v>414</x:v>
      </x:c>
      <x:c r="K504" s="22" t="s">
        <x:v>11</x:v>
      </x:c>
    </x:row>
    <x:row r="505" hidden="1">
      <x:c r="A505" s="24" t="s">
        <x:v>415</x:v>
      </x:c>
      <x:c r="B505" s="25">
        <x:v>46023</x:v>
      </x:c>
      <x:c r="C505" s="45" t="str">
        <x:f t="shared" si="7"/>
        <x:v>JANEIRO</x:v>
      </x:c>
      <x:c r="D505" s="24" t="s">
        <x:v>107</x:v>
      </x:c>
      <x:c r="E505" s="24" t="s">
        <x:v>107</x:v>
      </x:c>
      <x:c r="F505" s="24" t="s">
        <x:v>65</x:v>
      </x:c>
      <x:c r="G505" s="44">
        <x:v>-12.458</x:v>
      </x:c>
      <x:c r="H505" s="24" t="s">
        <x:v>82</x:v>
      </x:c>
      <x:c r="I505" s="24" t="s">
        <x:v>311</x:v>
      </x:c>
      <x:c r="J505" s="24" t="s">
        <x:v>414</x:v>
      </x:c>
      <x:c r="K505" s="22" t="s">
        <x:v>11</x:v>
      </x:c>
    </x:row>
    <x:row r="506" hidden="1">
      <x:c r="A506" s="24" t="s">
        <x:v>415</x:v>
      </x:c>
      <x:c r="B506" s="25">
        <x:v>46023</x:v>
      </x:c>
      <x:c r="C506" s="45" t="str">
        <x:f t="shared" si="7"/>
        <x:v>JANEIRO</x:v>
      </x:c>
      <x:c r="D506" s="24" t="s">
        <x:v>107</x:v>
      </x:c>
      <x:c r="E506" s="24" t="s">
        <x:v>107</x:v>
      </x:c>
      <x:c r="F506" s="24" t="s">
        <x:v>66</x:v>
      </x:c>
      <x:c r="G506" s="44">
        <x:v>-12.458</x:v>
      </x:c>
      <x:c r="H506" s="24" t="s">
        <x:v>82</x:v>
      </x:c>
      <x:c r="I506" s="24" t="s">
        <x:v>311</x:v>
      </x:c>
      <x:c r="J506" s="24" t="s">
        <x:v>414</x:v>
      </x:c>
      <x:c r="K506" s="22" t="s">
        <x:v>11</x:v>
      </x:c>
    </x:row>
    <x:row r="507" hidden="1">
      <x:c r="A507" s="24" t="s">
        <x:v>415</x:v>
      </x:c>
      <x:c r="B507" s="25">
        <x:v>46023</x:v>
      </x:c>
      <x:c r="C507" s="45" t="str">
        <x:f t="shared" si="7"/>
        <x:v>JANEIRO</x:v>
      </x:c>
      <x:c r="D507" s="24" t="s">
        <x:v>107</x:v>
      </x:c>
      <x:c r="E507" s="24" t="s">
        <x:v>107</x:v>
      </x:c>
      <x:c r="F507" s="24" t="s">
        <x:v>59</x:v>
      </x:c>
      <x:c r="G507" s="44">
        <x:v>-12.458</x:v>
      </x:c>
      <x:c r="H507" s="24" t="s">
        <x:v>82</x:v>
      </x:c>
      <x:c r="I507" s="24" t="s">
        <x:v>311</x:v>
      </x:c>
      <x:c r="J507" s="24" t="s">
        <x:v>414</x:v>
      </x:c>
      <x:c r="K507" s="22" t="s">
        <x:v>11</x:v>
      </x:c>
    </x:row>
    <x:row r="508" hidden="1">
      <x:c r="A508" s="24" t="s">
        <x:v>415</x:v>
      </x:c>
      <x:c r="B508" s="25">
        <x:v>46023</x:v>
      </x:c>
      <x:c r="C508" s="45" t="str">
        <x:f t="shared" si="7"/>
        <x:v>JANEIRO</x:v>
      </x:c>
      <x:c r="D508" s="24" t="s">
        <x:v>107</x:v>
      </x:c>
      <x:c r="E508" s="24" t="s">
        <x:v>107</x:v>
      </x:c>
      <x:c r="F508" s="24" t="s">
        <x:v>314</x:v>
      </x:c>
      <x:c r="G508" s="44">
        <x:v>-12.458</x:v>
      </x:c>
      <x:c r="H508" s="24" t="s">
        <x:v>82</x:v>
      </x:c>
      <x:c r="I508" s="24" t="s">
        <x:v>311</x:v>
      </x:c>
      <x:c r="J508" s="24" t="s">
        <x:v>414</x:v>
      </x:c>
      <x:c r="K508" s="22" t="s">
        <x:v>11</x:v>
      </x:c>
    </x:row>
    <x:row r="509" hidden="1">
      <x:c r="A509" s="24" t="s">
        <x:v>415</x:v>
      </x:c>
      <x:c r="B509" s="25">
        <x:v>46023</x:v>
      </x:c>
      <x:c r="C509" s="45" t="str">
        <x:f t="shared" si="7"/>
        <x:v>JANEIRO</x:v>
      </x:c>
      <x:c r="D509" s="24" t="s">
        <x:v>107</x:v>
      </x:c>
      <x:c r="E509" s="24" t="s">
        <x:v>107</x:v>
      </x:c>
      <x:c r="F509" s="24" t="s">
        <x:v>44</x:v>
      </x:c>
      <x:c r="G509" s="44">
        <x:v>-12.458</x:v>
      </x:c>
      <x:c r="H509" s="24" t="s">
        <x:v>82</x:v>
      </x:c>
      <x:c r="I509" s="24" t="s">
        <x:v>311</x:v>
      </x:c>
      <x:c r="J509" s="24" t="s">
        <x:v>414</x:v>
      </x:c>
      <x:c r="K509" s="22" t="s">
        <x:v>11</x:v>
      </x:c>
    </x:row>
    <x:row r="510" hidden="1">
      <x:c r="A510" s="24" t="s">
        <x:v>315</x:v>
      </x:c>
      <x:c r="B510" s="25">
        <x:v>46023</x:v>
      </x:c>
      <x:c r="C510" s="45" t="str">
        <x:f t="shared" si="7"/>
        <x:v>JANEIRO</x:v>
      </x:c>
      <x:c r="D510" s="24" t="s">
        <x:v>162</x:v>
      </x:c>
      <x:c r="E510" s="24" t="s">
        <x:v>317</x:v>
      </x:c>
      <x:c r="F510" s="24" t="s">
        <x:v>44</x:v>
      </x:c>
      <x:c r="G510" s="44">
        <x:v>-400</x:v>
      </x:c>
      <x:c r="H510" s="24" t="s">
        <x:v>82</x:v>
      </x:c>
      <x:c r="I510" s="24" t="s">
        <x:v>311</x:v>
      </x:c>
      <x:c r="J510" s="24" t="s">
        <x:v>414</x:v>
      </x:c>
      <x:c r="K510" s="22" t="s">
        <x:v>11</x:v>
      </x:c>
    </x:row>
    <x:row r="511" hidden="1">
      <x:c r="A511" s="24" t="s">
        <x:v>315</x:v>
      </x:c>
      <x:c r="B511" s="25">
        <x:v>46023</x:v>
      </x:c>
      <x:c r="C511" s="45" t="str">
        <x:f t="shared" si="7"/>
        <x:v>JANEIRO</x:v>
      </x:c>
      <x:c r="D511" s="24" t="s">
        <x:v>162</x:v>
      </x:c>
      <x:c r="E511" s="24" t="s">
        <x:v>10</x:v>
      </x:c>
      <x:c r="F511" s="24" t="s">
        <x:v>314</x:v>
      </x:c>
      <x:c r="G511" s="44">
        <x:v>-400</x:v>
      </x:c>
      <x:c r="H511" s="24" t="s">
        <x:v>82</x:v>
      </x:c>
      <x:c r="I511" s="24" t="s">
        <x:v>311</x:v>
      </x:c>
      <x:c r="J511" s="24" t="s">
        <x:v>414</x:v>
      </x:c>
      <x:c r="K511" s="22" t="s">
        <x:v>11</x:v>
      </x:c>
    </x:row>
    <x:row r="512" hidden="1">
      <x:c r="A512" s="24" t="s">
        <x:v>416</x:v>
      </x:c>
      <x:c r="B512" s="25">
        <x:v>46023</x:v>
      </x:c>
      <x:c r="C512" s="45" t="str">
        <x:f t="shared" si="7"/>
        <x:v>JANEIRO</x:v>
      </x:c>
      <x:c r="D512" s="24" t="s">
        <x:v>89</x:v>
      </x:c>
      <x:c r="E512" s="24" t="s">
        <x:v>405</x:v>
      </x:c>
      <x:c r="F512" s="24" t="s">
        <x:v>314</x:v>
      </x:c>
      <x:c r="G512" s="44">
        <x:v>12938.3</x:v>
      </x:c>
      <x:c r="H512" s="24" t="s">
        <x:v>91</x:v>
      </x:c>
      <x:c r="I512" s="24" t="s">
        <x:v>311</x:v>
      </x:c>
      <x:c r="J512" s="24" t="s">
        <x:v>414</x:v>
      </x:c>
      <x:c r="K512" s="22" t="s">
        <x:v>11</x:v>
      </x:c>
    </x:row>
    <x:row r="513" hidden="1">
      <x:c r="A513" s="24" t="s">
        <x:v>417</x:v>
      </x:c>
      <x:c r="B513" s="25">
        <x:v>46023</x:v>
      </x:c>
      <x:c r="C513" s="45" t="str">
        <x:f t="shared" si="7"/>
        <x:v>JANEIRO</x:v>
      </x:c>
      <x:c r="D513" s="24" t="s">
        <x:v>89</x:v>
      </x:c>
      <x:c r="E513" s="24" t="s">
        <x:v>418</x:v>
      </x:c>
      <x:c r="F513" s="24" t="s">
        <x:v>44</x:v>
      </x:c>
      <x:c r="G513" s="44">
        <x:v>12491.4</x:v>
      </x:c>
      <x:c r="H513" s="24" t="s">
        <x:v>91</x:v>
      </x:c>
      <x:c r="I513" s="24" t="s">
        <x:v>311</x:v>
      </x:c>
      <x:c r="J513" s="24" t="s">
        <x:v>414</x:v>
      </x:c>
      <x:c r="K513" s="22" t="s">
        <x:v>11</x:v>
      </x:c>
    </x:row>
    <x:row r="514" hidden="1">
      <x:c r="A514" s="24" t="s">
        <x:v>337</x:v>
      </x:c>
      <x:c r="B514" s="25">
        <x:v>46023</x:v>
      </x:c>
      <x:c r="C514" s="45" t="str">
        <x:f t="shared" ref="C514:C577" si="8">UPPER(TEXT(B514,"MMMM"))</x:f>
        <x:v>JANUARY</x:v>
      </x:c>
      <x:c r="D514" s="24" t="s">
        <x:v>227</x:v>
      </x:c>
      <x:c r="E514" s="24" t="s">
        <x:v>370</x:v>
      </x:c>
      <x:c r="F514" s="24" t="s">
        <x:v>314</x:v>
      </x:c>
      <x:c r="G514" s="44">
        <x:v>-399.5</x:v>
      </x:c>
      <x:c r="H514" s="24" t="s">
        <x:v>82</x:v>
      </x:c>
      <x:c r="I514" s="24" t="s">
        <x:v>311</x:v>
      </x:c>
      <x:c r="J514" s="24" t="s">
        <x:v>414</x:v>
      </x:c>
      <x:c r="K514" s="22" t="s">
        <x:v>11</x:v>
      </x:c>
    </x:row>
    <x:row r="515" hidden="1">
      <x:c r="A515" s="24" t="s">
        <x:v>335</x:v>
      </x:c>
      <x:c r="B515" s="25">
        <x:v>46023</x:v>
      </x:c>
      <x:c r="C515" s="45" t="str">
        <x:f t="shared" si="8"/>
        <x:v>JANEIRO</x:v>
      </x:c>
      <x:c r="D515" s="24" t="s">
        <x:v>132</x:v>
      </x:c>
      <x:c r="E515" s="24" t="s">
        <x:v>336</x:v>
      </x:c>
      <x:c r="F515" s="24" t="s">
        <x:v>66</x:v>
      </x:c>
      <x:c r="G515" s="44">
        <x:v>-2397.87</x:v>
      </x:c>
      <x:c r="H515" s="24" t="s">
        <x:v>82</x:v>
      </x:c>
      <x:c r="I515" s="24" t="s">
        <x:v>311</x:v>
      </x:c>
      <x:c r="J515" s="24" t="s">
        <x:v>419</x:v>
      </x:c>
      <x:c r="K515" s="22" t="s">
        <x:v>11</x:v>
      </x:c>
    </x:row>
    <x:row r="516" hidden="1">
      <x:c r="A516" s="24" t="s">
        <x:v>315</x:v>
      </x:c>
      <x:c r="B516" s="25">
        <x:v>46023</x:v>
      </x:c>
      <x:c r="C516" s="45" t="str">
        <x:f t="shared" si="8"/>
        <x:v>JANEIRO</x:v>
      </x:c>
      <x:c r="D516" s="24" t="s">
        <x:v>162</x:v>
      </x:c>
      <x:c r="E516" s="24" t="s">
        <x:v>23</x:v>
      </x:c>
      <x:c r="F516" s="24" t="s">
        <x:v>65</x:v>
      </x:c>
      <x:c r="G516" s="44">
        <x:v>-400</x:v>
      </x:c>
      <x:c r="H516" s="24" t="s">
        <x:v>82</x:v>
      </x:c>
      <x:c r="I516" s="24" t="s">
        <x:v>311</x:v>
      </x:c>
      <x:c r="J516" s="24" t="s">
        <x:v>419</x:v>
      </x:c>
      <x:c r="K516" s="22" t="s">
        <x:v>11</x:v>
      </x:c>
    </x:row>
    <x:row r="517" hidden="1">
      <x:c r="A517" s="24" t="s">
        <x:v>420</x:v>
      </x:c>
      <x:c r="B517" s="25">
        <x:v>46023</x:v>
      </x:c>
      <x:c r="C517" s="45" t="str">
        <x:f t="shared" si="8"/>
        <x:v>JANEIRO</x:v>
      </x:c>
      <x:c r="D517" s="24" t="s">
        <x:v>89</x:v>
      </x:c>
      <x:c r="E517" s="24" t="s">
        <x:v>377</x:v>
      </x:c>
      <x:c r="F517" s="24" t="s">
        <x:v>65</x:v>
      </x:c>
      <x:c r="G517" s="44">
        <x:v>9110</x:v>
      </x:c>
      <x:c r="H517" s="24" t="s">
        <x:v>91</x:v>
      </x:c>
      <x:c r="I517" s="24" t="s">
        <x:v>311</x:v>
      </x:c>
      <x:c r="J517" s="24" t="s">
        <x:v>419</x:v>
      </x:c>
      <x:c r="K517" s="22" t="s">
        <x:v>11</x:v>
      </x:c>
    </x:row>
    <x:row r="518" hidden="1">
      <x:c r="A518" s="24" t="s">
        <x:v>337</x:v>
      </x:c>
      <x:c r="B518" s="25">
        <x:v>46023</x:v>
      </x:c>
      <x:c r="C518" s="45" t="str">
        <x:f t="shared" si="8"/>
        <x:v>JANEIRO</x:v>
      </x:c>
      <x:c r="D518" s="24" t="s">
        <x:v>227</x:v>
      </x:c>
      <x:c r="E518" s="24" t="s">
        <x:v>370</x:v>
      </x:c>
      <x:c r="F518" s="24" t="s">
        <x:v>44</x:v>
      </x:c>
      <x:c r="G518" s="44">
        <x:v>-1796.02</x:v>
      </x:c>
      <x:c r="H518" s="24" t="s">
        <x:v>82</x:v>
      </x:c>
      <x:c r="I518" s="24" t="s">
        <x:v>311</x:v>
      </x:c>
      <x:c r="J518" s="24" t="s">
        <x:v>421</x:v>
      </x:c>
      <x:c r="K518" s="22" t="s">
        <x:v>11</x:v>
      </x:c>
    </x:row>
    <x:row r="519" hidden="1">
      <x:c r="A519" s="24" t="s">
        <x:v>335</x:v>
      </x:c>
      <x:c r="B519" s="25">
        <x:v>46023</x:v>
      </x:c>
      <x:c r="C519" s="45" t="str">
        <x:f t="shared" si="8"/>
        <x:v>JANEIRO</x:v>
      </x:c>
      <x:c r="D519" s="24" t="s">
        <x:v>132</x:v>
      </x:c>
      <x:c r="E519" s="24" t="s">
        <x:v>336</x:v>
      </x:c>
      <x:c r="F519" s="24" t="s">
        <x:v>65</x:v>
      </x:c>
      <x:c r="G519" s="44">
        <x:v>-2397.87</x:v>
      </x:c>
      <x:c r="H519" s="24" t="s">
        <x:v>82</x:v>
      </x:c>
      <x:c r="I519" s="24" t="s">
        <x:v>311</x:v>
      </x:c>
      <x:c r="J519" s="24" t="s">
        <x:v>421</x:v>
      </x:c>
      <x:c r="K519" s="22" t="s">
        <x:v>11</x:v>
      </x:c>
    </x:row>
    <x:row r="520" hidden="1">
      <x:c r="A520" s="24" t="s">
        <x:v>309</x:v>
      </x:c>
      <x:c r="B520" s="25">
        <x:v>46023</x:v>
      </x:c>
      <x:c r="C520" s="45" t="str">
        <x:f t="shared" si="8"/>
        <x:v>JANEIRO</x:v>
      </x:c>
      <x:c r="D520" s="24" t="s">
        <x:v>227</x:v>
      </x:c>
      <x:c r="E520" s="24" t="s">
        <x:v>400</x:v>
      </x:c>
      <x:c r="F520" s="24" t="s">
        <x:v>314</x:v>
      </x:c>
      <x:c r="G520" s="44">
        <x:v>-629.44600000000003</x:v>
      </x:c>
      <x:c r="H520" s="24" t="s">
        <x:v>82</x:v>
      </x:c>
      <x:c r="I520" s="24" t="s">
        <x:v>311</x:v>
      </x:c>
      <x:c r="J520" s="24" t="s">
        <x:v>421</x:v>
      </x:c>
      <x:c r="K520" s="22" t="s">
        <x:v>11</x:v>
      </x:c>
    </x:row>
    <x:row r="521" hidden="1">
      <x:c r="A521" s="24" t="s">
        <x:v>309</x:v>
      </x:c>
      <x:c r="B521" s="25">
        <x:v>46023</x:v>
      </x:c>
      <x:c r="C521" s="45" t="str">
        <x:f t="shared" si="8"/>
        <x:v>JANEIRO</x:v>
      </x:c>
      <x:c r="D521" s="24" t="s">
        <x:v>227</x:v>
      </x:c>
      <x:c r="E521" s="24" t="s">
        <x:v>400</x:v>
      </x:c>
      <x:c r="F521" s="24" t="s">
        <x:v>44</x:v>
      </x:c>
      <x:c r="G521" s="44">
        <x:v>-629.44600000000003</x:v>
      </x:c>
      <x:c r="H521" s="24" t="s">
        <x:v>82</x:v>
      </x:c>
      <x:c r="I521" s="24" t="s">
        <x:v>311</x:v>
      </x:c>
      <x:c r="J521" s="24" t="s">
        <x:v>421</x:v>
      </x:c>
      <x:c r="K521" s="22" t="s">
        <x:v>11</x:v>
      </x:c>
    </x:row>
    <x:row r="522" hidden="1">
      <x:c r="A522" s="24" t="s">
        <x:v>309</x:v>
      </x:c>
      <x:c r="B522" s="25">
        <x:v>46023</x:v>
      </x:c>
      <x:c r="C522" s="45" t="str">
        <x:f t="shared" si="8"/>
        <x:v>JANEIRO</x:v>
      </x:c>
      <x:c r="D522" s="24" t="s">
        <x:v>227</x:v>
      </x:c>
      <x:c r="E522" s="24" t="s">
        <x:v>400</x:v>
      </x:c>
      <x:c r="F522" s="24" t="s">
        <x:v>59</x:v>
      </x:c>
      <x:c r="G522" s="44">
        <x:v>-629.44600000000003</x:v>
      </x:c>
      <x:c r="H522" s="24" t="s">
        <x:v>82</x:v>
      </x:c>
      <x:c r="I522" s="24" t="s">
        <x:v>311</x:v>
      </x:c>
      <x:c r="J522" s="24" t="s">
        <x:v>421</x:v>
      </x:c>
      <x:c r="K522" s="22" t="s">
        <x:v>11</x:v>
      </x:c>
    </x:row>
    <x:row r="523" hidden="1">
      <x:c r="A523" s="24" t="s">
        <x:v>309</x:v>
      </x:c>
      <x:c r="B523" s="25">
        <x:v>46023</x:v>
      </x:c>
      <x:c r="C523" s="45" t="str">
        <x:f t="shared" si="8"/>
        <x:v>JANEIRO</x:v>
      </x:c>
      <x:c r="D523" s="24" t="s">
        <x:v>227</x:v>
      </x:c>
      <x:c r="E523" s="24" t="s">
        <x:v>400</x:v>
      </x:c>
      <x:c r="F523" s="24" t="s">
        <x:v>66</x:v>
      </x:c>
      <x:c r="G523" s="44">
        <x:v>-629.44600000000003</x:v>
      </x:c>
      <x:c r="H523" s="24" t="s">
        <x:v>82</x:v>
      </x:c>
      <x:c r="I523" s="24" t="s">
        <x:v>311</x:v>
      </x:c>
      <x:c r="J523" s="24" t="s">
        <x:v>421</x:v>
      </x:c>
      <x:c r="K523" s="22" t="s">
        <x:v>11</x:v>
      </x:c>
    </x:row>
    <x:row r="524" hidden="1">
      <x:c r="A524" s="24" t="s">
        <x:v>309</x:v>
      </x:c>
      <x:c r="B524" s="25">
        <x:v>46023</x:v>
      </x:c>
      <x:c r="C524" s="45" t="str">
        <x:f t="shared" si="8"/>
        <x:v>JANEIRO</x:v>
      </x:c>
      <x:c r="D524" s="24" t="s">
        <x:v>227</x:v>
      </x:c>
      <x:c r="E524" s="24" t="s">
        <x:v>400</x:v>
      </x:c>
      <x:c r="F524" s="24" t="s">
        <x:v>65</x:v>
      </x:c>
      <x:c r="G524" s="44">
        <x:v>-629.44600000000003</x:v>
      </x:c>
      <x:c r="H524" s="24" t="s">
        <x:v>82</x:v>
      </x:c>
      <x:c r="I524" s="24" t="s">
        <x:v>311</x:v>
      </x:c>
      <x:c r="J524" s="24" t="s">
        <x:v>421</x:v>
      </x:c>
      <x:c r="K524" s="22" t="s">
        <x:v>11</x:v>
      </x:c>
    </x:row>
    <x:row r="525" hidden="1">
      <x:c r="A525" s="24" t="s">
        <x:v>422</x:v>
      </x:c>
      <x:c r="B525" s="25">
        <x:v>46023</x:v>
      </x:c>
      <x:c r="C525" s="45" t="str">
        <x:f t="shared" si="8"/>
        <x:v>JANEIRO</x:v>
      </x:c>
      <x:c r="D525" s="24" t="s">
        <x:v>89</x:v>
      </x:c>
      <x:c r="E525" s="24" t="s">
        <x:v>396</x:v>
      </x:c>
      <x:c r="F525" s="24" t="s">
        <x:v>44</x:v>
      </x:c>
      <x:c r="G525" s="44">
        <x:v>12000.9</x:v>
      </x:c>
      <x:c r="H525" s="24" t="s">
        <x:v>91</x:v>
      </x:c>
      <x:c r="I525" s="24" t="s">
        <x:v>311</x:v>
      </x:c>
      <x:c r="J525" s="24" t="s">
        <x:v>421</x:v>
      </x:c>
      <x:c r="K525" s="22" t="s">
        <x:v>11</x:v>
      </x:c>
    </x:row>
    <x:row r="526" hidden="1">
      <x:c r="A526" s="24" t="s">
        <x:v>423</x:v>
      </x:c>
      <x:c r="B526" s="25">
        <x:v>46023</x:v>
      </x:c>
      <x:c r="C526" s="45" t="str">
        <x:f t="shared" si="8"/>
        <x:v>JANEIRO</x:v>
      </x:c>
      <x:c r="D526" s="24" t="s">
        <x:v>201</x:v>
      </x:c>
      <x:c r="E526" s="24" t="s">
        <x:v>424</x:v>
      </x:c>
      <x:c r="F526" s="24" t="s">
        <x:v>314</x:v>
      </x:c>
      <x:c r="G526" s="44">
        <x:v>-2191.614</x:v>
      </x:c>
      <x:c r="H526" s="24" t="s">
        <x:v>82</x:v>
      </x:c>
      <x:c r="I526" s="24" t="s">
        <x:v>311</x:v>
      </x:c>
      <x:c r="J526" s="24" t="s">
        <x:v>421</x:v>
      </x:c>
      <x:c r="K526" s="22" t="s">
        <x:v>11</x:v>
      </x:c>
    </x:row>
    <x:row r="527" hidden="1">
      <x:c r="A527" s="24" t="s">
        <x:v>423</x:v>
      </x:c>
      <x:c r="B527" s="25">
        <x:v>46023</x:v>
      </x:c>
      <x:c r="C527" s="45" t="str">
        <x:f t="shared" si="8"/>
        <x:v>JANEIRO</x:v>
      </x:c>
      <x:c r="D527" s="24" t="s">
        <x:v>201</x:v>
      </x:c>
      <x:c r="E527" s="24" t="s">
        <x:v>424</x:v>
      </x:c>
      <x:c r="F527" s="24" t="s">
        <x:v>59</x:v>
      </x:c>
      <x:c r="G527" s="44">
        <x:v>-2191.614</x:v>
      </x:c>
      <x:c r="H527" s="24" t="s">
        <x:v>82</x:v>
      </x:c>
      <x:c r="I527" s="24" t="s">
        <x:v>311</x:v>
      </x:c>
      <x:c r="J527" s="24" t="s">
        <x:v>421</x:v>
      </x:c>
      <x:c r="K527" s="22" t="s">
        <x:v>11</x:v>
      </x:c>
    </x:row>
    <x:row r="528" hidden="1">
      <x:c r="A528" s="24" t="s">
        <x:v>423</x:v>
      </x:c>
      <x:c r="B528" s="25">
        <x:v>46023</x:v>
      </x:c>
      <x:c r="C528" s="45" t="str">
        <x:f t="shared" si="8"/>
        <x:v>JANEIRO</x:v>
      </x:c>
      <x:c r="D528" s="24" t="s">
        <x:v>201</x:v>
      </x:c>
      <x:c r="E528" s="24" t="s">
        <x:v>424</x:v>
      </x:c>
      <x:c r="F528" s="24" t="s">
        <x:v>44</x:v>
      </x:c>
      <x:c r="G528" s="44">
        <x:v>-2191.614</x:v>
      </x:c>
      <x:c r="H528" s="24" t="s">
        <x:v>82</x:v>
      </x:c>
      <x:c r="I528" s="24" t="s">
        <x:v>311</x:v>
      </x:c>
      <x:c r="J528" s="24" t="s">
        <x:v>421</x:v>
      </x:c>
      <x:c r="K528" s="22" t="s">
        <x:v>11</x:v>
      </x:c>
    </x:row>
    <x:row r="529" hidden="1">
      <x:c r="A529" s="24" t="s">
        <x:v>423</x:v>
      </x:c>
      <x:c r="B529" s="25">
        <x:v>46023</x:v>
      </x:c>
      <x:c r="C529" s="45" t="str">
        <x:f t="shared" si="8"/>
        <x:v>JANEIRO</x:v>
      </x:c>
      <x:c r="D529" s="24" t="s">
        <x:v>201</x:v>
      </x:c>
      <x:c r="E529" s="24" t="s">
        <x:v>424</x:v>
      </x:c>
      <x:c r="F529" s="24" t="s">
        <x:v>66</x:v>
      </x:c>
      <x:c r="G529" s="44">
        <x:v>-2191.614</x:v>
      </x:c>
      <x:c r="H529" s="24" t="s">
        <x:v>82</x:v>
      </x:c>
      <x:c r="I529" s="24" t="s">
        <x:v>311</x:v>
      </x:c>
      <x:c r="J529" s="24" t="s">
        <x:v>421</x:v>
      </x:c>
      <x:c r="K529" s="22" t="s">
        <x:v>11</x:v>
      </x:c>
    </x:row>
    <x:row r="530" hidden="1">
      <x:c r="A530" s="24" t="s">
        <x:v>423</x:v>
      </x:c>
      <x:c r="B530" s="25">
        <x:v>46023</x:v>
      </x:c>
      <x:c r="C530" s="45" t="str">
        <x:f t="shared" si="8"/>
        <x:v>JANEIRO</x:v>
      </x:c>
      <x:c r="D530" s="24" t="s">
        <x:v>201</x:v>
      </x:c>
      <x:c r="E530" s="24" t="s">
        <x:v>424</x:v>
      </x:c>
      <x:c r="F530" s="24" t="s">
        <x:v>65</x:v>
      </x:c>
      <x:c r="G530" s="44">
        <x:v>-2191.614</x:v>
      </x:c>
      <x:c r="H530" s="24" t="s">
        <x:v>82</x:v>
      </x:c>
      <x:c r="I530" s="24" t="s">
        <x:v>311</x:v>
      </x:c>
      <x:c r="J530" s="24" t="s">
        <x:v>421</x:v>
      </x:c>
      <x:c r="K530" s="22" t="s">
        <x:v>11</x:v>
      </x:c>
    </x:row>
    <x:row r="531" hidden="1">
      <x:c r="A531" s="24" t="s">
        <x:v>315</x:v>
      </x:c>
      <x:c r="B531" s="25">
        <x:v>46023</x:v>
      </x:c>
      <x:c r="C531" s="45" t="str">
        <x:f t="shared" si="8"/>
        <x:v>JANEIRO</x:v>
      </x:c>
      <x:c r="D531" s="24" t="s">
        <x:v>162</x:v>
      </x:c>
      <x:c r="E531" s="24" t="s">
        <x:v>13</x:v>
      </x:c>
      <x:c r="F531" s="24" t="s">
        <x:v>59</x:v>
      </x:c>
      <x:c r="G531" s="44">
        <x:v>-400</x:v>
      </x:c>
      <x:c r="H531" s="24" t="s">
        <x:v>82</x:v>
      </x:c>
      <x:c r="I531" s="24" t="s">
        <x:v>311</x:v>
      </x:c>
      <x:c r="J531" s="24" t="s">
        <x:v>425</x:v>
      </x:c>
      <x:c r="K531" s="22" t="s">
        <x:v>11</x:v>
      </x:c>
    </x:row>
    <x:row r="532" hidden="1">
      <x:c r="A532" s="24" t="s">
        <x:v>426</x:v>
      </x:c>
      <x:c r="B532" s="25">
        <x:v>46023</x:v>
      </x:c>
      <x:c r="C532" s="45" t="str">
        <x:f t="shared" si="8"/>
        <x:v>JANEIRO</x:v>
      </x:c>
      <x:c r="D532" s="24" t="s">
        <x:v>89</x:v>
      </x:c>
      <x:c r="E532" s="24" t="s">
        <x:v>427</x:v>
      </x:c>
      <x:c r="F532" s="24" t="s">
        <x:v>59</x:v>
      </x:c>
      <x:c r="G532" s="44">
        <x:v>11848.3</x:v>
      </x:c>
      <x:c r="H532" s="24" t="s">
        <x:v>91</x:v>
      </x:c>
      <x:c r="I532" s="24" t="s">
        <x:v>311</x:v>
      </x:c>
      <x:c r="J532" s="24" t="s">
        <x:v>425</x:v>
      </x:c>
      <x:c r="K532" s="22" t="s">
        <x:v>11</x:v>
      </x:c>
    </x:row>
    <x:row r="533" hidden="1">
      <x:c r="A533" s="24" t="s">
        <x:v>428</x:v>
      </x:c>
      <x:c r="B533" s="25">
        <x:v>46023</x:v>
      </x:c>
      <x:c r="C533" s="45" t="str">
        <x:f t="shared" si="8"/>
        <x:v>JANEIRO</x:v>
      </x:c>
      <x:c r="D533" s="24" t="s">
        <x:v>89</x:v>
      </x:c>
      <x:c r="E533" s="24" t="s">
        <x:v>346</x:v>
      </x:c>
      <x:c r="F533" s="24" t="s">
        <x:v>59</x:v>
      </x:c>
      <x:c r="G533" s="44">
        <x:v>12971</x:v>
      </x:c>
      <x:c r="H533" s="24" t="s">
        <x:v>91</x:v>
      </x:c>
      <x:c r="I533" s="24" t="s">
        <x:v>311</x:v>
      </x:c>
      <x:c r="J533" s="24" t="s">
        <x:v>425</x:v>
      </x:c>
      <x:c r="K533" s="22" t="s">
        <x:v>11</x:v>
      </x:c>
    </x:row>
    <x:row r="534" hidden="1">
      <x:c r="A534" s="24" t="s">
        <x:v>315</x:v>
      </x:c>
      <x:c r="B534" s="25">
        <x:v>46023</x:v>
      </x:c>
      <x:c r="C534" s="45" t="str">
        <x:f t="shared" si="8"/>
        <x:v>JANEIRO</x:v>
      </x:c>
      <x:c r="D534" s="24" t="s">
        <x:v>162</x:v>
      </x:c>
      <x:c r="E534" s="24" t="s">
        <x:v>24</x:v>
      </x:c>
      <x:c r="F534" s="24" t="s">
        <x:v>66</x:v>
      </x:c>
      <x:c r="G534" s="44">
        <x:v>-400</x:v>
      </x:c>
      <x:c r="H534" s="24" t="s">
        <x:v>82</x:v>
      </x:c>
      <x:c r="I534" s="24" t="s">
        <x:v>311</x:v>
      </x:c>
      <x:c r="J534" s="24" t="s">
        <x:v>425</x:v>
      </x:c>
      <x:c r="K534" s="22" t="s">
        <x:v>11</x:v>
      </x:c>
    </x:row>
    <x:row r="535" hidden="1">
      <x:c r="A535" s="24" t="s">
        <x:v>429</x:v>
      </x:c>
      <x:c r="B535" s="25">
        <x:v>46023</x:v>
      </x:c>
      <x:c r="C535" s="45" t="str">
        <x:f t="shared" si="8"/>
        <x:v>JANEIRO</x:v>
      </x:c>
      <x:c r="D535" s="24" t="s">
        <x:v>89</x:v>
      </x:c>
      <x:c r="E535" s="24" t="s">
        <x:v>384</x:v>
      </x:c>
      <x:c r="F535" s="24" t="s">
        <x:v>66</x:v>
      </x:c>
      <x:c r="G535" s="44">
        <x:v>9810</x:v>
      </x:c>
      <x:c r="H535" s="24" t="s">
        <x:v>91</x:v>
      </x:c>
      <x:c r="I535" s="24" t="s">
        <x:v>311</x:v>
      </x:c>
      <x:c r="J535" s="24" t="s">
        <x:v>425</x:v>
      </x:c>
      <x:c r="K535" s="22" t="s">
        <x:v>11</x:v>
      </x:c>
    </x:row>
    <x:row r="536" hidden="1">
      <x:c r="A536" s="30" t="s">
        <x:v>112</x:v>
      </x:c>
      <x:c r="B536" s="25">
        <x:v>46023</x:v>
      </x:c>
      <x:c r="C536" s="45" t="str">
        <x:f t="shared" si="8"/>
        <x:v>JANEIRO</x:v>
      </x:c>
      <x:c r="D536" s="24" t="s">
        <x:v>112</x:v>
      </x:c>
      <x:c r="E536" s="24" t="s">
        <x:v>430</x:v>
      </x:c>
      <x:c r="F536" s="24" t="s">
        <x:v>65</x:v>
      </x:c>
      <x:c r="G536" s="44">
        <x:v>-21322.48</x:v>
      </x:c>
      <x:c r="H536" s="24" t="s">
        <x:v>82</x:v>
      </x:c>
      <x:c r="I536" s="24" t="s">
        <x:v>311</x:v>
      </x:c>
      <x:c r="J536" s="24" t="s">
        <x:v>425</x:v>
      </x:c>
      <x:c r="K536" s="22" t="s">
        <x:v>11</x:v>
      </x:c>
    </x:row>
    <x:row r="537" hidden="1">
      <x:c r="A537" s="24" t="s">
        <x:v>325</x:v>
      </x:c>
      <x:c r="B537" s="25">
        <x:v>46023</x:v>
      </x:c>
      <x:c r="C537" s="45" t="str">
        <x:f t="shared" si="8"/>
        <x:v>JANEIRO</x:v>
      </x:c>
      <x:c r="D537" s="24" t="s">
        <x:v>227</x:v>
      </x:c>
      <x:c r="E537" s="24" t="s">
        <x:v>392</x:v>
      </x:c>
      <x:c r="F537" s="24" t="s">
        <x:v>44</x:v>
      </x:c>
      <x:c r="G537" s="44">
        <x:v>-80</x:v>
      </x:c>
      <x:c r="H537" s="24" t="s">
        <x:v>82</x:v>
      </x:c>
      <x:c r="I537" s="24" t="s">
        <x:v>311</x:v>
      </x:c>
      <x:c r="J537" s="24" t="s">
        <x:v>431</x:v>
      </x:c>
      <x:c r="K537" s="22" t="s">
        <x:v>11</x:v>
      </x:c>
    </x:row>
    <x:row r="538" hidden="1">
      <x:c r="A538" s="24" t="s">
        <x:v>315</x:v>
      </x:c>
      <x:c r="B538" s="25">
        <x:v>46023</x:v>
      </x:c>
      <x:c r="C538" s="45" t="str">
        <x:f t="shared" si="8"/>
        <x:v>JANEIRO</x:v>
      </x:c>
      <x:c r="D538" s="24" t="s">
        <x:v>162</x:v>
      </x:c>
      <x:c r="E538" s="24" t="s">
        <x:v>10</x:v>
      </x:c>
      <x:c r="F538" s="24" t="s">
        <x:v>314</x:v>
      </x:c>
      <x:c r="G538" s="44">
        <x:v>-400</x:v>
      </x:c>
      <x:c r="H538" s="24" t="s">
        <x:v>82</x:v>
      </x:c>
      <x:c r="I538" s="24" t="s">
        <x:v>311</x:v>
      </x:c>
      <x:c r="J538" s="24" t="s">
        <x:v>431</x:v>
      </x:c>
      <x:c r="K538" s="22" t="s">
        <x:v>11</x:v>
      </x:c>
    </x:row>
    <x:row r="539" hidden="1">
      <x:c r="A539" s="24" t="s">
        <x:v>357</x:v>
      </x:c>
      <x:c r="B539" s="25">
        <x:v>46023</x:v>
      </x:c>
      <x:c r="C539" s="45" t="str">
        <x:f t="shared" si="8"/>
        <x:v>JANEIRO</x:v>
      </x:c>
      <x:c r="D539" s="24" t="s">
        <x:v>227</x:v>
      </x:c>
      <x:c r="E539" s="24" t="s">
        <x:v>10</x:v>
      </x:c>
      <x:c r="F539" s="24" t="s">
        <x:v>314</x:v>
      </x:c>
      <x:c r="G539" s="44">
        <x:v>-150</x:v>
      </x:c>
      <x:c r="H539" s="24" t="s">
        <x:v>82</x:v>
      </x:c>
      <x:c r="I539" s="24" t="s">
        <x:v>311</x:v>
      </x:c>
      <x:c r="J539" s="24" t="s">
        <x:v>431</x:v>
      </x:c>
      <x:c r="K539" s="22" t="s">
        <x:v>11</x:v>
      </x:c>
    </x:row>
    <x:row r="540" hidden="1">
      <x:c r="A540" s="24" t="s">
        <x:v>432</x:v>
      </x:c>
      <x:c r="B540" s="25">
        <x:v>46023</x:v>
      </x:c>
      <x:c r="C540" s="45" t="str">
        <x:f t="shared" si="8"/>
        <x:v>JANEIRO</x:v>
      </x:c>
      <x:c r="D540" s="24" t="s">
        <x:v>89</x:v>
      </x:c>
      <x:c r="E540" s="24" t="s">
        <x:v>346</x:v>
      </x:c>
      <x:c r="F540" s="24" t="s">
        <x:v>314</x:v>
      </x:c>
      <x:c r="G540" s="44">
        <x:v>13668.6</x:v>
      </x:c>
      <x:c r="H540" s="24" t="s">
        <x:v>91</x:v>
      </x:c>
      <x:c r="I540" s="24" t="s">
        <x:v>311</x:v>
      </x:c>
      <x:c r="J540" s="24" t="s">
        <x:v>431</x:v>
      </x:c>
      <x:c r="K540" s="22" t="s">
        <x:v>11</x:v>
      </x:c>
    </x:row>
    <x:row r="541" hidden="1">
      <x:c r="A541" s="24" t="s">
        <x:v>315</x:v>
      </x:c>
      <x:c r="B541" s="25">
        <x:v>46023</x:v>
      </x:c>
      <x:c r="C541" s="45" t="str">
        <x:f t="shared" si="8"/>
        <x:v>JANEIRO</x:v>
      </x:c>
      <x:c r="D541" s="24" t="s">
        <x:v>162</x:v>
      </x:c>
      <x:c r="E541" s="24" t="s">
        <x:v>23</x:v>
      </x:c>
      <x:c r="F541" s="24" t="s">
        <x:v>65</x:v>
      </x:c>
      <x:c r="G541" s="44">
        <x:v>-400</x:v>
      </x:c>
      <x:c r="H541" s="24" t="s">
        <x:v>82</x:v>
      </x:c>
      <x:c r="I541" s="24" t="s">
        <x:v>311</x:v>
      </x:c>
      <x:c r="J541" s="24" t="s">
        <x:v>431</x:v>
      </x:c>
      <x:c r="K541" s="22" t="s">
        <x:v>11</x:v>
      </x:c>
    </x:row>
    <x:row r="542" hidden="1">
      <x:c r="A542" s="24" t="s">
        <x:v>337</x:v>
      </x:c>
      <x:c r="B542" s="25">
        <x:v>46023</x:v>
      </x:c>
      <x:c r="C542" s="45" t="str">
        <x:f t="shared" si="8"/>
        <x:v>JANEIRO</x:v>
      </x:c>
      <x:c r="D542" s="24" t="s">
        <x:v>227</x:v>
      </x:c>
      <x:c r="E542" s="24" t="s">
        <x:v>370</x:v>
      </x:c>
      <x:c r="F542" s="24" t="s">
        <x:v>314</x:v>
      </x:c>
      <x:c r="G542" s="44">
        <x:v>-1786.85</x:v>
      </x:c>
      <x:c r="H542" s="24" t="s">
        <x:v>82</x:v>
      </x:c>
      <x:c r="I542" s="24" t="s">
        <x:v>311</x:v>
      </x:c>
      <x:c r="J542" s="24" t="s">
        <x:v>431</x:v>
      </x:c>
      <x:c r="K542" s="22" t="s">
        <x:v>11</x:v>
      </x:c>
    </x:row>
    <x:row r="543" hidden="1">
      <x:c r="A543" s="24" t="s">
        <x:v>433</x:v>
      </x:c>
      <x:c r="B543" s="25">
        <x:v>46023</x:v>
      </x:c>
      <x:c r="C543" s="45" t="str">
        <x:f t="shared" si="8"/>
        <x:v>JANEIRO</x:v>
      </x:c>
      <x:c r="D543" s="24" t="s">
        <x:v>89</x:v>
      </x:c>
      <x:c r="E543" s="24" t="s">
        <x:v>413</x:v>
      </x:c>
      <x:c r="F543" s="24" t="s">
        <x:v>65</x:v>
      </x:c>
      <x:c r="G543" s="44">
        <x:v>10608.2</x:v>
      </x:c>
      <x:c r="H543" s="24" t="s">
        <x:v>91</x:v>
      </x:c>
      <x:c r="I543" s="24" t="s">
        <x:v>311</x:v>
      </x:c>
      <x:c r="J543" s="24" t="s">
        <x:v>431</x:v>
      </x:c>
      <x:c r="K543" s="22" t="s">
        <x:v>11</x:v>
      </x:c>
    </x:row>
    <x:row r="544" hidden="1">
      <x:c r="A544" s="24" t="s">
        <x:v>434</x:v>
      </x:c>
      <x:c r="B544" s="25">
        <x:v>46023</x:v>
      </x:c>
      <x:c r="C544" s="45" t="str">
        <x:f t="shared" si="8"/>
        <x:v>JANEIRO</x:v>
      </x:c>
      <x:c r="D544" s="24" t="s">
        <x:v>89</x:v>
      </x:c>
      <x:c r="E544" s="24" t="s">
        <x:v>405</x:v>
      </x:c>
      <x:c r="F544" s="24" t="s">
        <x:v>65</x:v>
      </x:c>
      <x:c r="G544" s="44">
        <x:v>9842.7000000000007</x:v>
      </x:c>
      <x:c r="H544" s="24" t="s">
        <x:v>91</x:v>
      </x:c>
      <x:c r="I544" s="24" t="s">
        <x:v>311</x:v>
      </x:c>
      <x:c r="J544" s="24" t="s">
        <x:v>431</x:v>
      </x:c>
      <x:c r="K544" s="22" t="s">
        <x:v>11</x:v>
      </x:c>
    </x:row>
    <x:row r="545" hidden="1">
      <x:c r="A545" s="24" t="s">
        <x:v>357</x:v>
      </x:c>
      <x:c r="B545" s="25">
        <x:v>46023</x:v>
      </x:c>
      <x:c r="C545" s="45" t="str">
        <x:f t="shared" si="8"/>
        <x:v>JANEIRO</x:v>
      </x:c>
      <x:c r="D545" s="24" t="s">
        <x:v>227</x:v>
      </x:c>
      <x:c r="E545" s="24" t="s">
        <x:v>355</x:v>
      </x:c>
      <x:c r="F545" s="24" t="s">
        <x:v>44</x:v>
      </x:c>
      <x:c r="G545" s="44">
        <x:v>-513.14</x:v>
      </x:c>
      <x:c r="H545" s="24" t="s">
        <x:v>82</x:v>
      </x:c>
      <x:c r="I545" s="24" t="s">
        <x:v>311</x:v>
      </x:c>
      <x:c r="J545" s="24" t="s">
        <x:v>435</x:v>
      </x:c>
      <x:c r="K545" s="22" t="s">
        <x:v>11</x:v>
      </x:c>
    </x:row>
    <x:row r="546" hidden="1">
      <x:c r="A546" s="24" t="s">
        <x:v>309</x:v>
      </x:c>
      <x:c r="B546" s="25">
        <x:v>46023</x:v>
      </x:c>
      <x:c r="C546" s="45" t="str">
        <x:f t="shared" si="8"/>
        <x:v>JANEIRO</x:v>
      </x:c>
      <x:c r="D546" s="24" t="s">
        <x:v>227</x:v>
      </x:c>
      <x:c r="E546" s="24" t="s">
        <x:v>327</x:v>
      </x:c>
      <x:c r="F546" s="24" t="s">
        <x:v>314</x:v>
      </x:c>
      <x:c r="G546" s="44">
        <x:v>-2703.53</x:v>
      </x:c>
      <x:c r="H546" s="24" t="s">
        <x:v>82</x:v>
      </x:c>
      <x:c r="I546" s="24" t="s">
        <x:v>311</x:v>
      </x:c>
      <x:c r="J546" s="24" t="s">
        <x:v>435</x:v>
      </x:c>
      <x:c r="K546" s="22" t="s">
        <x:v>11</x:v>
      </x:c>
    </x:row>
    <x:row r="547" hidden="1">
      <x:c r="A547" s="24" t="s">
        <x:v>309</x:v>
      </x:c>
      <x:c r="B547" s="25">
        <x:v>46023</x:v>
      </x:c>
      <x:c r="C547" s="45" t="str">
        <x:f t="shared" si="8"/>
        <x:v>JANEIRO</x:v>
      </x:c>
      <x:c r="D547" s="24" t="s">
        <x:v>227</x:v>
      </x:c>
      <x:c r="E547" s="24" t="s">
        <x:v>327</x:v>
      </x:c>
      <x:c r="F547" s="24" t="s">
        <x:v>44</x:v>
      </x:c>
      <x:c r="G547" s="44">
        <x:v>-2703.53</x:v>
      </x:c>
      <x:c r="H547" s="24" t="s">
        <x:v>82</x:v>
      </x:c>
      <x:c r="I547" s="24" t="s">
        <x:v>311</x:v>
      </x:c>
      <x:c r="J547" s="24" t="s">
        <x:v>435</x:v>
      </x:c>
      <x:c r="K547" s="22" t="s">
        <x:v>11</x:v>
      </x:c>
    </x:row>
    <x:row r="548" hidden="1">
      <x:c r="A548" s="24" t="s">
        <x:v>309</x:v>
      </x:c>
      <x:c r="B548" s="25">
        <x:v>46023</x:v>
      </x:c>
      <x:c r="C548" s="45" t="str">
        <x:f t="shared" si="8"/>
        <x:v>JANEIRO</x:v>
      </x:c>
      <x:c r="D548" s="24" t="s">
        <x:v>227</x:v>
      </x:c>
      <x:c r="E548" s="24" t="s">
        <x:v>327</x:v>
      </x:c>
      <x:c r="F548" s="24" t="s">
        <x:v>59</x:v>
      </x:c>
      <x:c r="G548" s="44">
        <x:v>-2703.53</x:v>
      </x:c>
      <x:c r="H548" s="24" t="s">
        <x:v>82</x:v>
      </x:c>
      <x:c r="I548" s="24" t="s">
        <x:v>311</x:v>
      </x:c>
      <x:c r="J548" s="24" t="s">
        <x:v>435</x:v>
      </x:c>
      <x:c r="K548" s="22" t="s">
        <x:v>11</x:v>
      </x:c>
    </x:row>
    <x:row r="549" hidden="1">
      <x:c r="A549" s="24" t="s">
        <x:v>309</x:v>
      </x:c>
      <x:c r="B549" s="25">
        <x:v>46023</x:v>
      </x:c>
      <x:c r="C549" s="45" t="str">
        <x:f t="shared" si="8"/>
        <x:v>JANEIRO</x:v>
      </x:c>
      <x:c r="D549" s="24" t="s">
        <x:v>227</x:v>
      </x:c>
      <x:c r="E549" s="24" t="s">
        <x:v>327</x:v>
      </x:c>
      <x:c r="F549" s="24" t="s">
        <x:v>66</x:v>
      </x:c>
      <x:c r="G549" s="44">
        <x:v>-2703.53</x:v>
      </x:c>
      <x:c r="H549" s="24" t="s">
        <x:v>82</x:v>
      </x:c>
      <x:c r="I549" s="24" t="s">
        <x:v>311</x:v>
      </x:c>
      <x:c r="J549" s="24" t="s">
        <x:v>435</x:v>
      </x:c>
      <x:c r="K549" s="22" t="s">
        <x:v>11</x:v>
      </x:c>
    </x:row>
    <x:row r="550" hidden="1">
      <x:c r="A550" s="24" t="s">
        <x:v>309</x:v>
      </x:c>
      <x:c r="B550" s="25">
        <x:v>46023</x:v>
      </x:c>
      <x:c r="C550" s="45" t="str">
        <x:f t="shared" si="8"/>
        <x:v>JANEIRO</x:v>
      </x:c>
      <x:c r="D550" s="24" t="s">
        <x:v>227</x:v>
      </x:c>
      <x:c r="E550" s="24" t="s">
        <x:v>327</x:v>
      </x:c>
      <x:c r="F550" s="24" t="s">
        <x:v>65</x:v>
      </x:c>
      <x:c r="G550" s="44">
        <x:v>-2703.53</x:v>
      </x:c>
      <x:c r="H550" s="24" t="s">
        <x:v>82</x:v>
      </x:c>
      <x:c r="I550" s="24" t="s">
        <x:v>311</x:v>
      </x:c>
      <x:c r="J550" s="24" t="s">
        <x:v>435</x:v>
      </x:c>
      <x:c r="K550" s="22" t="s">
        <x:v>11</x:v>
      </x:c>
    </x:row>
    <x:row r="551" hidden="1">
      <x:c r="A551" s="24" t="s">
        <x:v>309</x:v>
      </x:c>
      <x:c r="B551" s="25">
        <x:v>46023</x:v>
      </x:c>
      <x:c r="C551" s="45" t="str">
        <x:f t="shared" si="8"/>
        <x:v>JANEIRO</x:v>
      </x:c>
      <x:c r="D551" s="24" t="s">
        <x:v>227</x:v>
      </x:c>
      <x:c r="E551" s="24" t="s">
        <x:v>313</x:v>
      </x:c>
      <x:c r="F551" s="24" t="s">
        <x:v>314</x:v>
      </x:c>
      <x:c r="G551" s="44">
        <x:v>-5696.98</x:v>
      </x:c>
      <x:c r="H551" s="24" t="s">
        <x:v>82</x:v>
      </x:c>
      <x:c r="I551" s="24" t="s">
        <x:v>311</x:v>
      </x:c>
      <x:c r="J551" s="24" t="s">
        <x:v>435</x:v>
      </x:c>
      <x:c r="K551" s="22" t="s">
        <x:v>11</x:v>
      </x:c>
    </x:row>
    <x:row r="552" hidden="1">
      <x:c r="A552" s="24" t="s">
        <x:v>309</x:v>
      </x:c>
      <x:c r="B552" s="25">
        <x:v>46023</x:v>
      </x:c>
      <x:c r="C552" s="45" t="str">
        <x:f t="shared" si="8"/>
        <x:v>JANEIRO</x:v>
      </x:c>
      <x:c r="D552" s="24" t="s">
        <x:v>227</x:v>
      </x:c>
      <x:c r="E552" s="24" t="s">
        <x:v>313</x:v>
      </x:c>
      <x:c r="F552" s="24" t="s">
        <x:v>44</x:v>
      </x:c>
      <x:c r="G552" s="44">
        <x:v>-5696.98</x:v>
      </x:c>
      <x:c r="H552" s="24" t="s">
        <x:v>82</x:v>
      </x:c>
      <x:c r="I552" s="24" t="s">
        <x:v>311</x:v>
      </x:c>
      <x:c r="J552" s="24" t="s">
        <x:v>435</x:v>
      </x:c>
      <x:c r="K552" s="22" t="s">
        <x:v>11</x:v>
      </x:c>
    </x:row>
    <x:row r="553" hidden="1">
      <x:c r="A553" s="24" t="s">
        <x:v>309</x:v>
      </x:c>
      <x:c r="B553" s="25">
        <x:v>46023</x:v>
      </x:c>
      <x:c r="C553" s="45" t="str">
        <x:f t="shared" si="8"/>
        <x:v>JANEIRO</x:v>
      </x:c>
      <x:c r="D553" s="24" t="s">
        <x:v>227</x:v>
      </x:c>
      <x:c r="E553" s="24" t="s">
        <x:v>313</x:v>
      </x:c>
      <x:c r="F553" s="24" t="s">
        <x:v>59</x:v>
      </x:c>
      <x:c r="G553" s="44">
        <x:v>-5696.98</x:v>
      </x:c>
      <x:c r="H553" s="24" t="s">
        <x:v>82</x:v>
      </x:c>
      <x:c r="I553" s="24" t="s">
        <x:v>311</x:v>
      </x:c>
      <x:c r="J553" s="24" t="s">
        <x:v>435</x:v>
      </x:c>
      <x:c r="K553" s="22" t="s">
        <x:v>11</x:v>
      </x:c>
    </x:row>
    <x:row r="554" hidden="1">
      <x:c r="A554" s="24" t="s">
        <x:v>309</x:v>
      </x:c>
      <x:c r="B554" s="25">
        <x:v>46023</x:v>
      </x:c>
      <x:c r="C554" s="45" t="str">
        <x:f t="shared" si="8"/>
        <x:v>JANEIRO</x:v>
      </x:c>
      <x:c r="D554" s="24" t="s">
        <x:v>227</x:v>
      </x:c>
      <x:c r="E554" s="24" t="s">
        <x:v>313</x:v>
      </x:c>
      <x:c r="F554" s="24" t="s">
        <x:v>66</x:v>
      </x:c>
      <x:c r="G554" s="44">
        <x:v>-5696.98</x:v>
      </x:c>
      <x:c r="H554" s="24" t="s">
        <x:v>82</x:v>
      </x:c>
      <x:c r="I554" s="24" t="s">
        <x:v>311</x:v>
      </x:c>
      <x:c r="J554" s="24" t="s">
        <x:v>435</x:v>
      </x:c>
      <x:c r="K554" s="22" t="s">
        <x:v>11</x:v>
      </x:c>
    </x:row>
    <x:row r="555" hidden="1">
      <x:c r="A555" s="24" t="s">
        <x:v>309</x:v>
      </x:c>
      <x:c r="B555" s="25">
        <x:v>46023</x:v>
      </x:c>
      <x:c r="C555" s="45" t="str">
        <x:f t="shared" si="8"/>
        <x:v>JANEIRO</x:v>
      </x:c>
      <x:c r="D555" s="24" t="s">
        <x:v>227</x:v>
      </x:c>
      <x:c r="E555" s="24" t="s">
        <x:v>313</x:v>
      </x:c>
      <x:c r="F555" s="24" t="s">
        <x:v>65</x:v>
      </x:c>
      <x:c r="G555" s="44">
        <x:v>-5696.98</x:v>
      </x:c>
      <x:c r="H555" s="24" t="s">
        <x:v>82</x:v>
      </x:c>
      <x:c r="I555" s="24" t="s">
        <x:v>311</x:v>
      </x:c>
      <x:c r="J555" s="24" t="s">
        <x:v>435</x:v>
      </x:c>
      <x:c r="K555" s="22" t="s">
        <x:v>11</x:v>
      </x:c>
    </x:row>
    <x:row r="556" hidden="1">
      <x:c r="A556" s="24" t="s">
        <x:v>315</x:v>
      </x:c>
      <x:c r="B556" s="25">
        <x:v>46023</x:v>
      </x:c>
      <x:c r="C556" s="45" t="str">
        <x:f t="shared" si="8"/>
        <x:v>JANEIRO</x:v>
      </x:c>
      <x:c r="D556" s="24" t="s">
        <x:v>162</x:v>
      </x:c>
      <x:c r="E556" s="24" t="s">
        <x:v>317</x:v>
      </x:c>
      <x:c r="F556" s="24" t="s">
        <x:v>44</x:v>
      </x:c>
      <x:c r="G556" s="44">
        <x:v>-400</x:v>
      </x:c>
      <x:c r="H556" s="24" t="s">
        <x:v>82</x:v>
      </x:c>
      <x:c r="I556" s="24" t="s">
        <x:v>311</x:v>
      </x:c>
      <x:c r="J556" s="24" t="s">
        <x:v>435</x:v>
      </x:c>
      <x:c r="K556" s="22" t="s">
        <x:v>11</x:v>
      </x:c>
    </x:row>
    <x:row r="557" hidden="1">
      <x:c r="A557" s="24" t="s">
        <x:v>315</x:v>
      </x:c>
      <x:c r="B557" s="25">
        <x:v>46023</x:v>
      </x:c>
      <x:c r="C557" s="45" t="str">
        <x:f t="shared" si="8"/>
        <x:v>JANEIRO</x:v>
      </x:c>
      <x:c r="D557" s="24" t="s">
        <x:v>162</x:v>
      </x:c>
      <x:c r="E557" s="24" t="s">
        <x:v>317</x:v>
      </x:c>
      <x:c r="F557" s="24" t="s">
        <x:v>44</x:v>
      </x:c>
      <x:c r="G557" s="44">
        <x:v>-400</x:v>
      </x:c>
      <x:c r="H557" s="24" t="s">
        <x:v>82</x:v>
      </x:c>
      <x:c r="I557" s="24" t="s">
        <x:v>311</x:v>
      </x:c>
      <x:c r="J557" s="24" t="s">
        <x:v>435</x:v>
      </x:c>
      <x:c r="K557" s="22" t="s">
        <x:v>11</x:v>
      </x:c>
    </x:row>
    <x:row r="558" hidden="1">
      <x:c r="A558" s="24" t="s">
        <x:v>325</x:v>
      </x:c>
      <x:c r="B558" s="25">
        <x:v>46023</x:v>
      </x:c>
      <x:c r="C558" s="45" t="str">
        <x:f t="shared" si="8"/>
        <x:v>JANEIRO</x:v>
      </x:c>
      <x:c r="D558" s="24" t="s">
        <x:v>227</x:v>
      </x:c>
      <x:c r="E558" s="24" t="s">
        <x:v>317</x:v>
      </x:c>
      <x:c r="F558" s="24" t="s">
        <x:v>44</x:v>
      </x:c>
      <x:c r="G558" s="44">
        <x:v>-400</x:v>
      </x:c>
      <x:c r="H558" s="24" t="s">
        <x:v>82</x:v>
      </x:c>
      <x:c r="I558" s="24" t="s">
        <x:v>311</x:v>
      </x:c>
      <x:c r="J558" s="24" t="s">
        <x:v>435</x:v>
      </x:c>
      <x:c r="K558" s="22" t="s">
        <x:v>11</x:v>
      </x:c>
    </x:row>
    <x:row r="559" hidden="1">
      <x:c r="A559" s="24" t="s">
        <x:v>436</x:v>
      </x:c>
      <x:c r="B559" s="25">
        <x:v>46023</x:v>
      </x:c>
      <x:c r="C559" s="45" t="str">
        <x:f t="shared" si="8"/>
        <x:v>JANEIRO</x:v>
      </x:c>
      <x:c r="D559" s="24" t="s">
        <x:v>89</x:v>
      </x:c>
      <x:c r="E559" s="24" t="s">
        <x:v>437</x:v>
      </x:c>
      <x:c r="F559" s="24" t="s">
        <x:v>44</x:v>
      </x:c>
      <x:c r="G559" s="44">
        <x:v>11935.5</x:v>
      </x:c>
      <x:c r="H559" s="24" t="s">
        <x:v>91</x:v>
      </x:c>
      <x:c r="I559" s="24" t="s">
        <x:v>311</x:v>
      </x:c>
      <x:c r="J559" s="24" t="s">
        <x:v>435</x:v>
      </x:c>
      <x:c r="K559" s="22" t="s">
        <x:v>11</x:v>
      </x:c>
    </x:row>
    <x:row r="560" hidden="1">
      <x:c r="A560" s="24" t="s">
        <x:v>337</x:v>
      </x:c>
      <x:c r="B560" s="25">
        <x:v>46023</x:v>
      </x:c>
      <x:c r="C560" s="45" t="str">
        <x:f t="shared" si="8"/>
        <x:v>JANEIRO</x:v>
      </x:c>
      <x:c r="D560" s="24" t="s">
        <x:v>227</x:v>
      </x:c>
      <x:c r="E560" s="24" t="s">
        <x:v>339</x:v>
      </x:c>
      <x:c r="F560" s="24" t="s">
        <x:v>59</x:v>
      </x:c>
      <x:c r="G560" s="44">
        <x:v>-1208.9100000000001</x:v>
      </x:c>
      <x:c r="H560" s="24" t="s">
        <x:v>82</x:v>
      </x:c>
      <x:c r="I560" s="24" t="s">
        <x:v>387</x:v>
      </x:c>
      <x:c r="J560" s="24" t="s">
        <x:v>438</x:v>
      </x:c>
      <x:c r="K560" s="22" t="s">
        <x:v>11</x:v>
      </x:c>
    </x:row>
    <x:row r="561" hidden="1">
      <x:c r="A561" s="24" t="s">
        <x:v>439</x:v>
      </x:c>
      <x:c r="B561" s="25">
        <x:v>46023</x:v>
      </x:c>
      <x:c r="C561" s="45" t="str">
        <x:f t="shared" si="8"/>
        <x:v>JANEIRO</x:v>
      </x:c>
      <x:c r="D561" s="24" t="s">
        <x:v>227</x:v>
      </x:c>
      <x:c r="E561" s="24" t="s">
        <x:v>339</x:v>
      </x:c>
      <x:c r="F561" s="24" t="s">
        <x:v>314</x:v>
      </x:c>
      <x:c r="G561" s="44">
        <x:v>-480</x:v>
      </x:c>
      <x:c r="H561" s="24" t="s">
        <x:v>82</x:v>
      </x:c>
      <x:c r="I561" s="24" t="s">
        <x:v>311</x:v>
      </x:c>
      <x:c r="J561" s="24" t="s">
        <x:v>438</x:v>
      </x:c>
      <x:c r="K561" s="22" t="s">
        <x:v>11</x:v>
      </x:c>
    </x:row>
    <x:row r="562" hidden="1">
      <x:c r="A562" s="24" t="s">
        <x:v>439</x:v>
      </x:c>
      <x:c r="B562" s="25">
        <x:v>46023</x:v>
      </x:c>
      <x:c r="C562" s="45" t="str">
        <x:f t="shared" si="8"/>
        <x:v>JANEIRO</x:v>
      </x:c>
      <x:c r="D562" s="24" t="s">
        <x:v>227</x:v>
      </x:c>
      <x:c r="E562" s="24" t="s">
        <x:v>339</x:v>
      </x:c>
      <x:c r="F562" s="24" t="s">
        <x:v>59</x:v>
      </x:c>
      <x:c r="G562" s="44">
        <x:v>-220</x:v>
      </x:c>
      <x:c r="H562" s="24" t="s">
        <x:v>82</x:v>
      </x:c>
      <x:c r="I562" s="24" t="s">
        <x:v>311</x:v>
      </x:c>
      <x:c r="J562" s="24" t="s">
        <x:v>438</x:v>
      </x:c>
      <x:c r="K562" s="22" t="s">
        <x:v>11</x:v>
      </x:c>
    </x:row>
    <x:row r="563" hidden="1">
      <x:c r="A563" s="24" t="s">
        <x:v>325</x:v>
      </x:c>
      <x:c r="B563" s="25">
        <x:v>46023</x:v>
      </x:c>
      <x:c r="C563" s="45" t="str">
        <x:f t="shared" si="8"/>
        <x:v>JANEIRO</x:v>
      </x:c>
      <x:c r="D563" s="24" t="s">
        <x:v>227</x:v>
      </x:c>
      <x:c r="E563" s="24" t="s">
        <x:v>339</x:v>
      </x:c>
      <x:c r="F563" s="24" t="s">
        <x:v>314</x:v>
      </x:c>
      <x:c r="G563" s="44">
        <x:v>-159.18799999999999</x:v>
      </x:c>
      <x:c r="H563" s="24" t="s">
        <x:v>82</x:v>
      </x:c>
      <x:c r="I563" s="24" t="s">
        <x:v>311</x:v>
      </x:c>
      <x:c r="J563" s="24" t="s">
        <x:v>438</x:v>
      </x:c>
      <x:c r="K563" s="22" t="s">
        <x:v>11</x:v>
      </x:c>
    </x:row>
    <x:row r="564" hidden="1">
      <x:c r="A564" s="24" t="s">
        <x:v>325</x:v>
      </x:c>
      <x:c r="B564" s="25">
        <x:v>46023</x:v>
      </x:c>
      <x:c r="C564" s="45" t="str">
        <x:f t="shared" si="8"/>
        <x:v>JANEIRO</x:v>
      </x:c>
      <x:c r="D564" s="24" t="s">
        <x:v>227</x:v>
      </x:c>
      <x:c r="E564" s="24" t="s">
        <x:v>339</x:v>
      </x:c>
      <x:c r="F564" s="24" t="s">
        <x:v>59</x:v>
      </x:c>
      <x:c r="G564" s="44">
        <x:v>-159.18799999999999</x:v>
      </x:c>
      <x:c r="H564" s="24" t="s">
        <x:v>82</x:v>
      </x:c>
      <x:c r="I564" s="24" t="s">
        <x:v>311</x:v>
      </x:c>
      <x:c r="J564" s="24" t="s">
        <x:v>438</x:v>
      </x:c>
      <x:c r="K564" s="22" t="s">
        <x:v>11</x:v>
      </x:c>
    </x:row>
    <x:row r="565" hidden="1">
      <x:c r="A565" s="24" t="s">
        <x:v>325</x:v>
      </x:c>
      <x:c r="B565" s="25">
        <x:v>46023</x:v>
      </x:c>
      <x:c r="C565" s="45" t="str">
        <x:f t="shared" si="8"/>
        <x:v>JANEIRO</x:v>
      </x:c>
      <x:c r="D565" s="24" t="s">
        <x:v>227</x:v>
      </x:c>
      <x:c r="E565" s="24" t="s">
        <x:v>339</x:v>
      </x:c>
      <x:c r="F565" s="24" t="s">
        <x:v>66</x:v>
      </x:c>
      <x:c r="G565" s="44">
        <x:v>-159.18799999999999</x:v>
      </x:c>
      <x:c r="H565" s="24" t="s">
        <x:v>82</x:v>
      </x:c>
      <x:c r="I565" s="24" t="s">
        <x:v>311</x:v>
      </x:c>
      <x:c r="J565" s="24" t="s">
        <x:v>438</x:v>
      </x:c>
      <x:c r="K565" s="22" t="s">
        <x:v>11</x:v>
      </x:c>
    </x:row>
    <x:row r="566" hidden="1">
      <x:c r="A566" s="24" t="s">
        <x:v>325</x:v>
      </x:c>
      <x:c r="B566" s="25">
        <x:v>46023</x:v>
      </x:c>
      <x:c r="C566" s="45" t="str">
        <x:f t="shared" si="8"/>
        <x:v>JANEIRO</x:v>
      </x:c>
      <x:c r="D566" s="24" t="s">
        <x:v>227</x:v>
      </x:c>
      <x:c r="E566" s="24" t="s">
        <x:v>339</x:v>
      </x:c>
      <x:c r="F566" s="24" t="s">
        <x:v>65</x:v>
      </x:c>
      <x:c r="G566" s="44">
        <x:v>-159.18799999999999</x:v>
      </x:c>
      <x:c r="H566" s="24" t="s">
        <x:v>82</x:v>
      </x:c>
      <x:c r="I566" s="24" t="s">
        <x:v>311</x:v>
      </x:c>
      <x:c r="J566" s="24" t="s">
        <x:v>438</x:v>
      </x:c>
      <x:c r="K566" s="22" t="s">
        <x:v>11</x:v>
      </x:c>
    </x:row>
    <x:row r="567" hidden="1">
      <x:c r="A567" s="24" t="s">
        <x:v>325</x:v>
      </x:c>
      <x:c r="B567" s="25">
        <x:v>46023</x:v>
      </x:c>
      <x:c r="C567" s="45" t="str">
        <x:f t="shared" si="8"/>
        <x:v>JANEIRO</x:v>
      </x:c>
      <x:c r="D567" s="24" t="s">
        <x:v>227</x:v>
      </x:c>
      <x:c r="E567" s="24" t="s">
        <x:v>339</x:v>
      </x:c>
      <x:c r="F567" s="24" t="s">
        <x:v>44</x:v>
      </x:c>
      <x:c r="G567" s="44">
        <x:v>-159.18799999999999</x:v>
      </x:c>
      <x:c r="H567" s="24" t="s">
        <x:v>82</x:v>
      </x:c>
      <x:c r="I567" s="24" t="s">
        <x:v>311</x:v>
      </x:c>
      <x:c r="J567" s="24" t="s">
        <x:v>438</x:v>
      </x:c>
      <x:c r="K567" s="22" t="s">
        <x:v>11</x:v>
      </x:c>
    </x:row>
    <x:row r="568" hidden="1">
      <x:c r="A568" s="24" t="s">
        <x:v>357</x:v>
      </x:c>
      <x:c r="B568" s="25">
        <x:v>46023</x:v>
      </x:c>
      <x:c r="C568" s="45" t="str">
        <x:f t="shared" si="8"/>
        <x:v>JANEIRO</x:v>
      </x:c>
      <x:c r="D568" s="24" t="s">
        <x:v>227</x:v>
      </x:c>
      <x:c r="E568" s="24" t="s">
        <x:v>440</x:v>
      </x:c>
      <x:c r="F568" s="24" t="s">
        <x:v>385</x:v>
      </x:c>
      <x:c r="G568" s="44">
        <x:v>-747.75</x:v>
      </x:c>
      <x:c r="H568" s="24" t="s">
        <x:v>82</x:v>
      </x:c>
      <x:c r="I568" s="24" t="s">
        <x:v>311</x:v>
      </x:c>
      <x:c r="J568" s="24" t="s">
        <x:v>438</x:v>
      </x:c>
      <x:c r="K568" s="22" t="s">
        <x:v>11</x:v>
      </x:c>
    </x:row>
    <x:row r="569" hidden="1">
      <x:c r="A569" s="24" t="s">
        <x:v>315</x:v>
      </x:c>
      <x:c r="B569" s="25">
        <x:v>46023</x:v>
      </x:c>
      <x:c r="C569" s="45" t="str">
        <x:f t="shared" si="8"/>
        <x:v>JANEIRO</x:v>
      </x:c>
      <x:c r="D569" s="24" t="s">
        <x:v>162</x:v>
      </x:c>
      <x:c r="E569" s="24" t="s">
        <x:v>13</x:v>
      </x:c>
      <x:c r="F569" s="24" t="s">
        <x:v>59</x:v>
      </x:c>
      <x:c r="G569" s="44">
        <x:v>-400</x:v>
      </x:c>
      <x:c r="H569" s="24" t="s">
        <x:v>82</x:v>
      </x:c>
      <x:c r="I569" s="24" t="s">
        <x:v>311</x:v>
      </x:c>
      <x:c r="J569" s="24" t="s">
        <x:v>438</x:v>
      </x:c>
      <x:c r="K569" s="22" t="s">
        <x:v>11</x:v>
      </x:c>
    </x:row>
    <x:row r="570" hidden="1">
      <x:c r="A570" s="24" t="s">
        <x:v>315</x:v>
      </x:c>
      <x:c r="B570" s="25">
        <x:v>46023</x:v>
      </x:c>
      <x:c r="C570" s="45" t="str">
        <x:f t="shared" si="8"/>
        <x:v>JANEIRO</x:v>
      </x:c>
      <x:c r="D570" s="24" t="s">
        <x:v>162</x:v>
      </x:c>
      <x:c r="E570" s="24" t="s">
        <x:v>24</x:v>
      </x:c>
      <x:c r="F570" s="24" t="s">
        <x:v>66</x:v>
      </x:c>
      <x:c r="G570" s="44">
        <x:v>-400</x:v>
      </x:c>
      <x:c r="H570" s="24" t="s">
        <x:v>82</x:v>
      </x:c>
      <x:c r="I570" s="24" t="s">
        <x:v>311</x:v>
      </x:c>
      <x:c r="J570" s="24" t="s">
        <x:v>438</x:v>
      </x:c>
      <x:c r="K570" s="22" t="s">
        <x:v>11</x:v>
      </x:c>
    </x:row>
    <x:row r="571" hidden="1">
      <x:c r="A571" s="24" t="s">
        <x:v>441</x:v>
      </x:c>
      <x:c r="B571" s="25">
        <x:v>46023</x:v>
      </x:c>
      <x:c r="C571" s="45" t="str">
        <x:f t="shared" si="8"/>
        <x:v>JANEIRO</x:v>
      </x:c>
      <x:c r="D571" s="24" t="s">
        <x:v>89</x:v>
      </x:c>
      <x:c r="E571" s="24" t="s">
        <x:v>344</x:v>
      </x:c>
      <x:c r="F571" s="24" t="s">
        <x:v>66</x:v>
      </x:c>
      <x:c r="G571" s="44">
        <x:v>9995.2999999999993</x:v>
      </x:c>
      <x:c r="H571" s="24" t="s">
        <x:v>91</x:v>
      </x:c>
      <x:c r="I571" s="24" t="s">
        <x:v>311</x:v>
      </x:c>
      <x:c r="J571" s="24" t="s">
        <x:v>438</x:v>
      </x:c>
      <x:c r="K571" s="22" t="s">
        <x:v>11</x:v>
      </x:c>
    </x:row>
    <x:row r="572" hidden="1">
      <x:c r="A572" s="24" t="s">
        <x:v>442</x:v>
      </x:c>
      <x:c r="B572" s="25">
        <x:v>46023</x:v>
      </x:c>
      <x:c r="C572" s="45" t="str">
        <x:f t="shared" si="8"/>
        <x:v>JANEIRO</x:v>
      </x:c>
      <x:c r="D572" s="24" t="s">
        <x:v>227</x:v>
      </x:c>
      <x:c r="E572" s="24" t="s">
        <x:v>355</x:v>
      </x:c>
      <x:c r="F572" s="24" t="s">
        <x:v>59</x:v>
      </x:c>
      <x:c r="G572" s="44">
        <x:v>-1074.33</x:v>
      </x:c>
      <x:c r="H572" s="24" t="s">
        <x:v>82</x:v>
      </x:c>
      <x:c r="I572" s="24" t="s">
        <x:v>311</x:v>
      </x:c>
      <x:c r="J572" s="24" t="s">
        <x:v>443</x:v>
      </x:c>
      <x:c r="K572" s="22" t="s">
        <x:v>11</x:v>
      </x:c>
    </x:row>
    <x:row r="573" hidden="1">
      <x:c r="A573" s="24" t="s">
        <x:v>315</x:v>
      </x:c>
      <x:c r="B573" s="25">
        <x:v>46023</x:v>
      </x:c>
      <x:c r="C573" s="45" t="str">
        <x:f t="shared" si="8"/>
        <x:v>JANEIRO</x:v>
      </x:c>
      <x:c r="D573" s="24" t="s">
        <x:v>162</x:v>
      </x:c>
      <x:c r="E573" s="24" t="s">
        <x:v>10</x:v>
      </x:c>
      <x:c r="F573" s="24" t="s">
        <x:v>314</x:v>
      </x:c>
      <x:c r="G573" s="44">
        <x:v>-400</x:v>
      </x:c>
      <x:c r="H573" s="24" t="s">
        <x:v>82</x:v>
      </x:c>
      <x:c r="I573" s="24" t="s">
        <x:v>311</x:v>
      </x:c>
      <x:c r="J573" s="24" t="s">
        <x:v>443</x:v>
      </x:c>
      <x:c r="K573" s="22" t="s">
        <x:v>11</x:v>
      </x:c>
    </x:row>
    <x:row r="574" hidden="1">
      <x:c r="A574" s="24" t="s">
        <x:v>315</x:v>
      </x:c>
      <x:c r="B574" s="25">
        <x:v>46023</x:v>
      </x:c>
      <x:c r="C574" s="45" t="str">
        <x:f t="shared" si="8"/>
        <x:v>JANEIRO</x:v>
      </x:c>
      <x:c r="D574" s="24" t="s">
        <x:v>162</x:v>
      </x:c>
      <x:c r="E574" s="24" t="s">
        <x:v>23</x:v>
      </x:c>
      <x:c r="F574" s="24" t="s">
        <x:v>65</x:v>
      </x:c>
      <x:c r="G574" s="44">
        <x:v>-400</x:v>
      </x:c>
      <x:c r="H574" s="24" t="s">
        <x:v>82</x:v>
      </x:c>
      <x:c r="I574" s="24" t="s">
        <x:v>311</x:v>
      </x:c>
      <x:c r="J574" s="24" t="s">
        <x:v>443</x:v>
      </x:c>
      <x:c r="K574" s="22" t="s">
        <x:v>11</x:v>
      </x:c>
    </x:row>
    <x:row r="575" hidden="1">
      <x:c r="A575" s="24" t="s">
        <x:v>357</x:v>
      </x:c>
      <x:c r="B575" s="25">
        <x:v>46023</x:v>
      </x:c>
      <x:c r="C575" s="45" t="str">
        <x:f t="shared" si="8"/>
        <x:v>JANEIRO</x:v>
      </x:c>
      <x:c r="D575" s="24" t="s">
        <x:v>227</x:v>
      </x:c>
      <x:c r="E575" s="24" t="s">
        <x:v>23</x:v>
      </x:c>
      <x:c r="F575" s="24" t="s">
        <x:v>65</x:v>
      </x:c>
      <x:c r="G575" s="44">
        <x:v>-40</x:v>
      </x:c>
      <x:c r="H575" s="24" t="s">
        <x:v>82</x:v>
      </x:c>
      <x:c r="I575" s="24" t="s">
        <x:v>311</x:v>
      </x:c>
      <x:c r="J575" s="24" t="s">
        <x:v>443</x:v>
      </x:c>
      <x:c r="K575" s="22" t="s">
        <x:v>11</x:v>
      </x:c>
    </x:row>
    <x:row r="576" hidden="1">
      <x:c r="A576" s="24" t="s">
        <x:v>357</x:v>
      </x:c>
      <x:c r="B576" s="25">
        <x:v>46023</x:v>
      </x:c>
      <x:c r="C576" s="45" t="str">
        <x:f t="shared" si="8"/>
        <x:v>JANEIRO</x:v>
      </x:c>
      <x:c r="D576" s="24" t="s">
        <x:v>227</x:v>
      </x:c>
      <x:c r="E576" s="24" t="s">
        <x:v>23</x:v>
      </x:c>
      <x:c r="F576" s="24" t="s">
        <x:v>65</x:v>
      </x:c>
      <x:c r="G576" s="44">
        <x:v>-40</x:v>
      </x:c>
      <x:c r="H576" s="24" t="s">
        <x:v>82</x:v>
      </x:c>
      <x:c r="I576" s="24" t="s">
        <x:v>311</x:v>
      </x:c>
      <x:c r="J576" s="24" t="s">
        <x:v>443</x:v>
      </x:c>
      <x:c r="K576" s="22" t="s">
        <x:v>11</x:v>
      </x:c>
    </x:row>
    <x:row r="577" hidden="1">
      <x:c r="A577" s="24" t="s">
        <x:v>444</x:v>
      </x:c>
      <x:c r="B577" s="25">
        <x:v>46023</x:v>
      </x:c>
      <x:c r="C577" s="45" t="str">
        <x:f t="shared" si="8"/>
        <x:v>JANEIRO</x:v>
      </x:c>
      <x:c r="D577" s="24" t="s">
        <x:v>89</x:v>
      </x:c>
      <x:c r="E577" s="24" t="s">
        <x:v>321</x:v>
      </x:c>
      <x:c r="F577" s="24" t="s">
        <x:v>314</x:v>
      </x:c>
      <x:c r="G577" s="44">
        <x:v>14170</x:v>
      </x:c>
      <x:c r="H577" s="24" t="s">
        <x:v>91</x:v>
      </x:c>
      <x:c r="I577" s="24" t="s">
        <x:v>311</x:v>
      </x:c>
      <x:c r="J577" s="24" t="s">
        <x:v>443</x:v>
      </x:c>
      <x:c r="K577" s="22" t="s">
        <x:v>11</x:v>
      </x:c>
    </x:row>
    <x:row r="578" hidden="1">
      <x:c r="A578" s="24" t="s">
        <x:v>315</x:v>
      </x:c>
      <x:c r="B578" s="25">
        <x:v>46023</x:v>
      </x:c>
      <x:c r="C578" s="45" t="str">
        <x:f t="shared" ref="C578:C641" si="9">UPPER(TEXT(B578,"MMMM"))</x:f>
        <x:v>JANUARY</x:v>
      </x:c>
      <x:c r="D578" s="24" t="s">
        <x:v>162</x:v>
      </x:c>
      <x:c r="E578" s="24" t="s">
        <x:v>317</x:v>
      </x:c>
      <x:c r="F578" s="24" t="s">
        <x:v>44</x:v>
      </x:c>
      <x:c r="G578" s="44">
        <x:v>-400</x:v>
      </x:c>
      <x:c r="H578" s="24" t="s">
        <x:v>82</x:v>
      </x:c>
      <x:c r="I578" s="24" t="s">
        <x:v>311</x:v>
      </x:c>
      <x:c r="J578" s="24" t="s">
        <x:v>443</x:v>
      </x:c>
      <x:c r="K578" s="22" t="s">
        <x:v>11</x:v>
      </x:c>
    </x:row>
    <x:row r="579" hidden="1">
      <x:c r="A579" s="24" t="s">
        <x:v>445</x:v>
      </x:c>
      <x:c r="B579" s="25">
        <x:v>46023</x:v>
      </x:c>
      <x:c r="C579" s="45" t="str">
        <x:f t="shared" si="9"/>
        <x:v>JANEIRO</x:v>
      </x:c>
      <x:c r="D579" s="24" t="s">
        <x:v>89</x:v>
      </x:c>
      <x:c r="E579" s="24" t="s">
        <x:v>446</x:v>
      </x:c>
      <x:c r="F579" s="24" t="s">
        <x:v>44</x:v>
      </x:c>
      <x:c r="G579" s="44">
        <x:v>10963</x:v>
      </x:c>
      <x:c r="H579" s="24" t="s">
        <x:v>91</x:v>
      </x:c>
      <x:c r="I579" s="24" t="s">
        <x:v>311</x:v>
      </x:c>
      <x:c r="J579" s="24" t="s">
        <x:v>443</x:v>
      </x:c>
      <x:c r="K579" s="22" t="s">
        <x:v>11</x:v>
      </x:c>
    </x:row>
    <x:row r="580" hidden="1">
      <x:c r="A580" s="24" t="s">
        <x:v>357</x:v>
      </x:c>
      <x:c r="B580" s="25">
        <x:v>46023</x:v>
      </x:c>
      <x:c r="C580" s="45" t="str">
        <x:f t="shared" si="9"/>
        <x:v>JANEIRO</x:v>
      </x:c>
      <x:c r="D580" s="24" t="s">
        <x:v>227</x:v>
      </x:c>
      <x:c r="E580" s="24" t="s">
        <x:v>317</x:v>
      </x:c>
      <x:c r="F580" s="24" t="s">
        <x:v>44</x:v>
      </x:c>
      <x:c r="G580" s="44">
        <x:v>-16.5</x:v>
      </x:c>
      <x:c r="H580" s="24" t="s">
        <x:v>82</x:v>
      </x:c>
      <x:c r="I580" s="24" t="s">
        <x:v>311</x:v>
      </x:c>
      <x:c r="J580" s="24" t="s">
        <x:v>443</x:v>
      </x:c>
      <x:c r="K580" s="22" t="s">
        <x:v>11</x:v>
      </x:c>
    </x:row>
    <x:row r="581" hidden="1">
      <x:c r="A581" s="24" t="s">
        <x:v>337</x:v>
      </x:c>
      <x:c r="B581" s="25">
        <x:v>46023</x:v>
      </x:c>
      <x:c r="C581" s="45" t="str">
        <x:f t="shared" si="9"/>
        <x:v>JANEIRO</x:v>
      </x:c>
      <x:c r="D581" s="24" t="s">
        <x:v>227</x:v>
      </x:c>
      <x:c r="E581" s="24" t="s">
        <x:v>370</x:v>
      </x:c>
      <x:c r="F581" s="24" t="s">
        <x:v>314</x:v>
      </x:c>
      <x:c r="G581" s="44">
        <x:v>-666</x:v>
      </x:c>
      <x:c r="H581" s="24" t="s">
        <x:v>82</x:v>
      </x:c>
      <x:c r="I581" s="24" t="s">
        <x:v>311</x:v>
      </x:c>
      <x:c r="J581" s="24" t="s">
        <x:v>447</x:v>
      </x:c>
      <x:c r="K581" s="22" t="s">
        <x:v>11</x:v>
      </x:c>
    </x:row>
    <x:row r="582" hidden="1">
      <x:c r="A582" s="24" t="s">
        <x:v>325</x:v>
      </x:c>
      <x:c r="B582" s="25">
        <x:v>46023</x:v>
      </x:c>
      <x:c r="C582" s="45" t="str">
        <x:f t="shared" si="9"/>
        <x:v>JANEIRO</x:v>
      </x:c>
      <x:c r="D582" s="24" t="s">
        <x:v>227</x:v>
      </x:c>
      <x:c r="E582" s="24" t="s">
        <x:v>370</x:v>
      </x:c>
      <x:c r="F582" s="24" t="s">
        <x:v>66</x:v>
      </x:c>
      <x:c r="G582" s="44">
        <x:v>-559.30999999999995</x:v>
      </x:c>
      <x:c r="H582" s="24" t="s">
        <x:v>82</x:v>
      </x:c>
      <x:c r="I582" s="24" t="s">
        <x:v>311</x:v>
      </x:c>
      <x:c r="J582" s="24" t="s">
        <x:v>447</x:v>
      </x:c>
      <x:c r="K582" s="22" t="s">
        <x:v>11</x:v>
      </x:c>
    </x:row>
    <x:row r="583" hidden="1">
      <x:c r="A583" s="24" t="s">
        <x:v>423</x:v>
      </x:c>
      <x:c r="B583" s="25">
        <x:v>46023</x:v>
      </x:c>
      <x:c r="C583" s="45" t="str">
        <x:f t="shared" si="9"/>
        <x:v>JANEIRO</x:v>
      </x:c>
      <x:c r="D583" s="24" t="s">
        <x:v>201</x:v>
      </x:c>
      <x:c r="E583" s="24" t="s">
        <x:v>448</x:v>
      </x:c>
      <x:c r="F583" s="24" t="s">
        <x:v>314</x:v>
      </x:c>
      <x:c r="G583" s="44">
        <x:v>-241.91800000000001</x:v>
      </x:c>
      <x:c r="H583" s="24" t="s">
        <x:v>82</x:v>
      </x:c>
      <x:c r="I583" s="24" t="s">
        <x:v>311</x:v>
      </x:c>
      <x:c r="J583" s="24" t="s">
        <x:v>447</x:v>
      </x:c>
      <x:c r="K583" s="22" t="s">
        <x:v>11</x:v>
      </x:c>
    </x:row>
    <x:row r="584" hidden="1">
      <x:c r="A584" s="24" t="s">
        <x:v>423</x:v>
      </x:c>
      <x:c r="B584" s="25">
        <x:v>46023</x:v>
      </x:c>
      <x:c r="C584" s="45" t="str">
        <x:f t="shared" si="9"/>
        <x:v>JANEIRO</x:v>
      </x:c>
      <x:c r="D584" s="24" t="s">
        <x:v>201</x:v>
      </x:c>
      <x:c r="E584" s="24" t="s">
        <x:v>448</x:v>
      </x:c>
      <x:c r="F584" s="24" t="s">
        <x:v>59</x:v>
      </x:c>
      <x:c r="G584" s="44">
        <x:v>-241.91800000000001</x:v>
      </x:c>
      <x:c r="H584" s="24" t="s">
        <x:v>82</x:v>
      </x:c>
      <x:c r="I584" s="24" t="s">
        <x:v>311</x:v>
      </x:c>
      <x:c r="J584" s="24" t="s">
        <x:v>447</x:v>
      </x:c>
      <x:c r="K584" s="22" t="s">
        <x:v>11</x:v>
      </x:c>
    </x:row>
    <x:row r="585" hidden="1">
      <x:c r="A585" s="24" t="s">
        <x:v>423</x:v>
      </x:c>
      <x:c r="B585" s="25">
        <x:v>46023</x:v>
      </x:c>
      <x:c r="C585" s="45" t="str">
        <x:f t="shared" si="9"/>
        <x:v>JANEIRO</x:v>
      </x:c>
      <x:c r="D585" s="24" t="s">
        <x:v>201</x:v>
      </x:c>
      <x:c r="E585" s="24" t="s">
        <x:v>448</x:v>
      </x:c>
      <x:c r="F585" s="1" t="s">
        <x:v>44</x:v>
      </x:c>
      <x:c r="G585" s="44">
        <x:v>-241.91800000000001</x:v>
      </x:c>
      <x:c r="H585" s="24" t="s">
        <x:v>82</x:v>
      </x:c>
      <x:c r="I585" s="24" t="s">
        <x:v>311</x:v>
      </x:c>
      <x:c r="J585" s="24" t="s">
        <x:v>447</x:v>
      </x:c>
      <x:c r="K585" s="22" t="s">
        <x:v>11</x:v>
      </x:c>
    </x:row>
    <x:row r="586" hidden="1">
      <x:c r="A586" s="24" t="s">
        <x:v>423</x:v>
      </x:c>
      <x:c r="B586" s="25">
        <x:v>46023</x:v>
      </x:c>
      <x:c r="C586" s="45" t="str">
        <x:f t="shared" si="9"/>
        <x:v>JANEIRO</x:v>
      </x:c>
      <x:c r="D586" s="24" t="s">
        <x:v>201</x:v>
      </x:c>
      <x:c r="E586" s="24" t="s">
        <x:v>448</x:v>
      </x:c>
      <x:c r="F586" s="24" t="s">
        <x:v>66</x:v>
      </x:c>
      <x:c r="G586" s="44">
        <x:v>-241.91800000000001</x:v>
      </x:c>
      <x:c r="H586" s="24" t="s">
        <x:v>82</x:v>
      </x:c>
      <x:c r="I586" s="24" t="s">
        <x:v>311</x:v>
      </x:c>
      <x:c r="J586" s="24" t="s">
        <x:v>447</x:v>
      </x:c>
      <x:c r="K586" s="22" t="s">
        <x:v>11</x:v>
      </x:c>
    </x:row>
    <x:row r="587" hidden="1">
      <x:c r="A587" s="24" t="s">
        <x:v>423</x:v>
      </x:c>
      <x:c r="B587" s="25">
        <x:v>46023</x:v>
      </x:c>
      <x:c r="C587" s="45" t="str">
        <x:f t="shared" si="9"/>
        <x:v>JANEIRO</x:v>
      </x:c>
      <x:c r="D587" s="24" t="s">
        <x:v>201</x:v>
      </x:c>
      <x:c r="E587" s="24" t="s">
        <x:v>448</x:v>
      </x:c>
      <x:c r="F587" s="24" t="s">
        <x:v>65</x:v>
      </x:c>
      <x:c r="G587" s="44">
        <x:v>-241.91800000000001</x:v>
      </x:c>
      <x:c r="H587" s="24" t="s">
        <x:v>82</x:v>
      </x:c>
      <x:c r="I587" s="24" t="s">
        <x:v>311</x:v>
      </x:c>
      <x:c r="J587" s="24" t="s">
        <x:v>447</x:v>
      </x:c>
      <x:c r="K587" s="22" t="s">
        <x:v>11</x:v>
      </x:c>
    </x:row>
    <x:row r="588" hidden="1">
      <x:c r="A588" s="24" t="s">
        <x:v>315</x:v>
      </x:c>
      <x:c r="B588" s="25">
        <x:v>46023</x:v>
      </x:c>
      <x:c r="C588" s="45" t="str">
        <x:f t="shared" si="9"/>
        <x:v>JANEIRO</x:v>
      </x:c>
      <x:c r="D588" s="24" t="s">
        <x:v>162</x:v>
      </x:c>
      <x:c r="E588" s="24" t="s">
        <x:v>24</x:v>
      </x:c>
      <x:c r="F588" s="24" t="s">
        <x:v>66</x:v>
      </x:c>
      <x:c r="G588" s="44">
        <x:v>-400</x:v>
      </x:c>
      <x:c r="H588" s="24" t="s">
        <x:v>82</x:v>
      </x:c>
      <x:c r="I588" s="24" t="s">
        <x:v>311</x:v>
      </x:c>
      <x:c r="J588" s="24" t="s">
        <x:v>447</x:v>
      </x:c>
      <x:c r="K588" s="22" t="s">
        <x:v>11</x:v>
      </x:c>
    </x:row>
    <x:row r="589" hidden="1">
      <x:c r="A589" s="24" t="s">
        <x:v>449</x:v>
      </x:c>
      <x:c r="B589" s="25">
        <x:v>46023</x:v>
      </x:c>
      <x:c r="C589" s="45" t="str">
        <x:f t="shared" si="9"/>
        <x:v>JANEIRO</x:v>
      </x:c>
      <x:c r="D589" s="24" t="s">
        <x:v>89</x:v>
      </x:c>
      <x:c r="E589" s="24" t="s">
        <x:v>396</x:v>
      </x:c>
      <x:c r="F589" s="24" t="s">
        <x:v>66</x:v>
      </x:c>
      <x:c r="G589" s="44">
        <x:v>9842.7000000000007</x:v>
      </x:c>
      <x:c r="H589" s="24" t="s">
        <x:v>91</x:v>
      </x:c>
      <x:c r="I589" s="24" t="s">
        <x:v>311</x:v>
      </x:c>
      <x:c r="J589" s="24" t="s">
        <x:v>447</x:v>
      </x:c>
      <x:c r="K589" s="22" t="s">
        <x:v>11</x:v>
      </x:c>
    </x:row>
    <x:row r="590" hidden="1">
      <x:c r="A590" s="24" t="s">
        <x:v>325</x:v>
      </x:c>
      <x:c r="B590" s="25">
        <x:v>46023</x:v>
      </x:c>
      <x:c r="C590" s="45" t="str">
        <x:f t="shared" si="9"/>
        <x:v>JANEIRO</x:v>
      </x:c>
      <x:c r="D590" s="24" t="s">
        <x:v>227</x:v>
      </x:c>
      <x:c r="E590" s="24" t="s">
        <x:v>317</x:v>
      </x:c>
      <x:c r="F590" s="24" t="s">
        <x:v>44</x:v>
      </x:c>
      <x:c r="G590" s="44">
        <x:v>-280</x:v>
      </x:c>
      <x:c r="H590" s="24" t="s">
        <x:v>82</x:v>
      </x:c>
      <x:c r="I590" s="24" t="s">
        <x:v>311</x:v>
      </x:c>
      <x:c r="J590" s="24" t="s">
        <x:v>447</x:v>
      </x:c>
      <x:c r="K590" s="22" t="s">
        <x:v>11</x:v>
      </x:c>
    </x:row>
    <x:row r="591" hidden="1">
      <x:c r="A591" s="24" t="s">
        <x:v>357</x:v>
      </x:c>
      <x:c r="B591" s="25">
        <x:v>46023</x:v>
      </x:c>
      <x:c r="C591" s="45" t="str">
        <x:f t="shared" si="9"/>
        <x:v>JANEIRO</x:v>
      </x:c>
      <x:c r="D591" s="24" t="s">
        <x:v>227</x:v>
      </x:c>
      <x:c r="E591" s="24" t="s">
        <x:v>338</x:v>
      </x:c>
      <x:c r="F591" s="24" t="s">
        <x:v>44</x:v>
      </x:c>
      <x:c r="G591" s="44">
        <x:v>-198.9</x:v>
      </x:c>
      <x:c r="H591" s="24" t="s">
        <x:v>82</x:v>
      </x:c>
      <x:c r="I591" s="24" t="s">
        <x:v>311</x:v>
      </x:c>
      <x:c r="J591" s="24" t="s">
        <x:v>450</x:v>
      </x:c>
      <x:c r="K591" s="22" t="s">
        <x:v>11</x:v>
      </x:c>
    </x:row>
    <x:row r="592" hidden="1">
      <x:c r="A592" s="24" t="s">
        <x:v>309</x:v>
      </x:c>
      <x:c r="B592" s="25">
        <x:v>46023</x:v>
      </x:c>
      <x:c r="C592" s="45" t="str">
        <x:f t="shared" si="9"/>
        <x:v>JANEIRO</x:v>
      </x:c>
      <x:c r="D592" s="24" t="s">
        <x:v>227</x:v>
      </x:c>
      <x:c r="E592" s="24" t="s">
        <x:v>313</x:v>
      </x:c>
      <x:c r="F592" s="24" t="s">
        <x:v>314</x:v>
      </x:c>
      <x:c r="G592" s="44">
        <x:v>-7592.8540000000003</x:v>
      </x:c>
      <x:c r="H592" s="24" t="s">
        <x:v>82</x:v>
      </x:c>
      <x:c r="I592" s="24" t="s">
        <x:v>311</x:v>
      </x:c>
      <x:c r="J592" s="24" t="s">
        <x:v>450</x:v>
      </x:c>
      <x:c r="K592" s="22" t="s">
        <x:v>11</x:v>
      </x:c>
    </x:row>
    <x:row r="593" hidden="1">
      <x:c r="A593" s="24" t="s">
        <x:v>309</x:v>
      </x:c>
      <x:c r="B593" s="25">
        <x:v>46023</x:v>
      </x:c>
      <x:c r="C593" s="45" t="str">
        <x:f t="shared" si="9"/>
        <x:v>JANEIRO</x:v>
      </x:c>
      <x:c r="D593" s="24" t="s">
        <x:v>227</x:v>
      </x:c>
      <x:c r="E593" s="24" t="s">
        <x:v>313</x:v>
      </x:c>
      <x:c r="F593" s="24" t="s">
        <x:v>44</x:v>
      </x:c>
      <x:c r="G593" s="44">
        <x:v>-7592.8540000000003</x:v>
      </x:c>
      <x:c r="H593" s="24" t="s">
        <x:v>82</x:v>
      </x:c>
      <x:c r="I593" s="24" t="s">
        <x:v>311</x:v>
      </x:c>
      <x:c r="J593" s="24" t="s">
        <x:v>450</x:v>
      </x:c>
      <x:c r="K593" s="22" t="s">
        <x:v>11</x:v>
      </x:c>
    </x:row>
    <x:row r="594" hidden="1">
      <x:c r="A594" s="24" t="s">
        <x:v>309</x:v>
      </x:c>
      <x:c r="B594" s="25">
        <x:v>46023</x:v>
      </x:c>
      <x:c r="C594" s="45" t="str">
        <x:f t="shared" si="9"/>
        <x:v>JANEIRO</x:v>
      </x:c>
      <x:c r="D594" s="24" t="s">
        <x:v>227</x:v>
      </x:c>
      <x:c r="E594" s="24" t="s">
        <x:v>313</x:v>
      </x:c>
      <x:c r="F594" s="24" t="s">
        <x:v>59</x:v>
      </x:c>
      <x:c r="G594" s="44">
        <x:v>-7592.8540000000003</x:v>
      </x:c>
      <x:c r="H594" s="24" t="s">
        <x:v>82</x:v>
      </x:c>
      <x:c r="I594" s="24" t="s">
        <x:v>311</x:v>
      </x:c>
      <x:c r="J594" s="24" t="s">
        <x:v>450</x:v>
      </x:c>
      <x:c r="K594" s="22" t="s">
        <x:v>11</x:v>
      </x:c>
    </x:row>
    <x:row r="595" hidden="1">
      <x:c r="A595" s="24" t="s">
        <x:v>309</x:v>
      </x:c>
      <x:c r="B595" s="25">
        <x:v>46023</x:v>
      </x:c>
      <x:c r="C595" s="45" t="str">
        <x:f t="shared" si="9"/>
        <x:v>JANEIRO</x:v>
      </x:c>
      <x:c r="D595" s="24" t="s">
        <x:v>227</x:v>
      </x:c>
      <x:c r="E595" s="24" t="s">
        <x:v>313</x:v>
      </x:c>
      <x:c r="F595" s="24" t="s">
        <x:v>66</x:v>
      </x:c>
      <x:c r="G595" s="44">
        <x:v>-7592.8540000000003</x:v>
      </x:c>
      <x:c r="H595" s="24" t="s">
        <x:v>82</x:v>
      </x:c>
      <x:c r="I595" s="24" t="s">
        <x:v>311</x:v>
      </x:c>
      <x:c r="J595" s="24" t="s">
        <x:v>450</x:v>
      </x:c>
      <x:c r="K595" s="22" t="s">
        <x:v>11</x:v>
      </x:c>
    </x:row>
    <x:row r="596" hidden="1">
      <x:c r="A596" s="24" t="s">
        <x:v>309</x:v>
      </x:c>
      <x:c r="B596" s="25">
        <x:v>46023</x:v>
      </x:c>
      <x:c r="C596" s="45" t="str">
        <x:f t="shared" si="9"/>
        <x:v>JANEIRO</x:v>
      </x:c>
      <x:c r="D596" s="24" t="s">
        <x:v>227</x:v>
      </x:c>
      <x:c r="E596" s="24" t="s">
        <x:v>313</x:v>
      </x:c>
      <x:c r="F596" s="24" t="s">
        <x:v>65</x:v>
      </x:c>
      <x:c r="G596" s="44">
        <x:v>-7592.8540000000003</x:v>
      </x:c>
      <x:c r="H596" s="24" t="s">
        <x:v>82</x:v>
      </x:c>
      <x:c r="I596" s="24" t="s">
        <x:v>311</x:v>
      </x:c>
      <x:c r="J596" s="24" t="s">
        <x:v>450</x:v>
      </x:c>
      <x:c r="K596" s="22" t="s">
        <x:v>11</x:v>
      </x:c>
    </x:row>
    <x:row r="597" hidden="1">
      <x:c r="A597" s="24" t="s">
        <x:v>451</x:v>
      </x:c>
      <x:c r="B597" s="25">
        <x:v>46023</x:v>
      </x:c>
      <x:c r="C597" s="45" t="str">
        <x:f t="shared" si="9"/>
        <x:v>JANEIRO</x:v>
      </x:c>
      <x:c r="D597" s="24" t="s">
        <x:v>89</x:v>
      </x:c>
      <x:c r="E597" s="24" t="s">
        <x:v>452</x:v>
      </x:c>
      <x:c r="F597" s="24" t="s">
        <x:v>59</x:v>
      </x:c>
      <x:c r="G597" s="44">
        <x:v>12229.8</x:v>
      </x:c>
      <x:c r="H597" s="24" t="s">
        <x:v>91</x:v>
      </x:c>
      <x:c r="I597" s="24" t="s">
        <x:v>311</x:v>
      </x:c>
      <x:c r="J597" s="24" t="s">
        <x:v>450</x:v>
      </x:c>
      <x:c r="K597" s="22" t="s">
        <x:v>11</x:v>
      </x:c>
    </x:row>
    <x:row r="598" hidden="1">
      <x:c r="A598" s="24" t="s">
        <x:v>315</x:v>
      </x:c>
      <x:c r="B598" s="25">
        <x:v>46023</x:v>
      </x:c>
      <x:c r="C598" s="45" t="str">
        <x:f t="shared" si="9"/>
        <x:v>JANEIRO</x:v>
      </x:c>
      <x:c r="D598" s="24" t="s">
        <x:v>162</x:v>
      </x:c>
      <x:c r="E598" s="24" t="s">
        <x:v>13</x:v>
      </x:c>
      <x:c r="F598" s="24" t="s">
        <x:v>59</x:v>
      </x:c>
      <x:c r="G598" s="44">
        <x:v>-400</x:v>
      </x:c>
      <x:c r="H598" s="24" t="s">
        <x:v>82</x:v>
      </x:c>
      <x:c r="I598" s="24" t="s">
        <x:v>311</x:v>
      </x:c>
      <x:c r="J598" s="24" t="s">
        <x:v>450</x:v>
      </x:c>
      <x:c r="K598" s="22" t="s">
        <x:v>11</x:v>
      </x:c>
    </x:row>
    <x:row r="599" hidden="1">
      <x:c r="A599" s="24" t="s">
        <x:v>453</x:v>
      </x:c>
      <x:c r="B599" s="25">
        <x:v>46023</x:v>
      </x:c>
      <x:c r="C599" s="45" t="str">
        <x:f t="shared" si="9"/>
        <x:v>JANEIRO</x:v>
      </x:c>
      <x:c r="D599" s="24" t="s">
        <x:v>89</x:v>
      </x:c>
      <x:c r="E599" s="24" t="s">
        <x:v>344</x:v>
      </x:c>
      <x:c r="F599" s="24" t="s">
        <x:v>65</x:v>
      </x:c>
      <x:c r="G599" s="44">
        <x:v>9864.5</x:v>
      </x:c>
      <x:c r="H599" s="24" t="s">
        <x:v>91</x:v>
      </x:c>
      <x:c r="I599" s="24" t="s">
        <x:v>311</x:v>
      </x:c>
      <x:c r="J599" s="24" t="s">
        <x:v>450</x:v>
      </x:c>
      <x:c r="K599" s="22" t="s">
        <x:v>11</x:v>
      </x:c>
    </x:row>
    <x:row r="600" hidden="1">
      <x:c r="A600" s="24" t="s">
        <x:v>315</x:v>
      </x:c>
      <x:c r="B600" s="25">
        <x:v>46023</x:v>
      </x:c>
      <x:c r="C600" s="45" t="str">
        <x:f t="shared" si="9"/>
        <x:v>JANEIRO</x:v>
      </x:c>
      <x:c r="D600" s="24" t="s">
        <x:v>162</x:v>
      </x:c>
      <x:c r="E600" s="24" t="s">
        <x:v>23</x:v>
      </x:c>
      <x:c r="F600" s="24" t="s">
        <x:v>65</x:v>
      </x:c>
      <x:c r="G600" s="44">
        <x:v>-400</x:v>
      </x:c>
      <x:c r="H600" s="24" t="s">
        <x:v>82</x:v>
      </x:c>
      <x:c r="I600" s="24" t="s">
        <x:v>311</x:v>
      </x:c>
      <x:c r="J600" s="24" t="s">
        <x:v>450</x:v>
      </x:c>
      <x:c r="K600" s="22" t="s">
        <x:v>11</x:v>
      </x:c>
    </x:row>
    <x:row r="601" hidden="1">
      <x:c r="A601" s="24" t="s">
        <x:v>454</x:v>
      </x:c>
      <x:c r="B601" s="25">
        <x:v>46023</x:v>
      </x:c>
      <x:c r="C601" s="45" t="str">
        <x:f t="shared" si="9"/>
        <x:v>JANEIRO</x:v>
      </x:c>
      <x:c r="D601" s="24" t="s">
        <x:v>80</x:v>
      </x:c>
      <x:c r="E601" s="24" t="s">
        <x:v>10</x:v>
      </x:c>
      <x:c r="F601" s="24" t="s">
        <x:v>314</x:v>
      </x:c>
      <x:c r="G601" s="44">
        <x:v>-52.07</x:v>
      </x:c>
      <x:c r="H601" s="24" t="s">
        <x:v>82</x:v>
      </x:c>
      <x:c r="I601" s="24" t="s">
        <x:v>311</x:v>
      </x:c>
      <x:c r="J601" s="24" t="s">
        <x:v>455</x:v>
      </x:c>
      <x:c r="K601" s="22" t="s">
        <x:v>11</x:v>
      </x:c>
    </x:row>
    <x:row r="602" hidden="1">
      <x:c r="A602" s="24" t="s">
        <x:v>454</x:v>
      </x:c>
      <x:c r="B602" s="25">
        <x:v>46023</x:v>
      </x:c>
      <x:c r="C602" s="45" t="str">
        <x:f t="shared" si="9"/>
        <x:v>JANEIRO</x:v>
      </x:c>
      <x:c r="D602" s="24" t="s">
        <x:v>80</x:v>
      </x:c>
      <x:c r="E602" s="24" t="s">
        <x:v>13</x:v>
      </x:c>
      <x:c r="F602" s="24" t="s">
        <x:v>59</x:v>
      </x:c>
      <x:c r="G602" s="44">
        <x:v>-52.07</x:v>
      </x:c>
      <x:c r="H602" s="24" t="s">
        <x:v>82</x:v>
      </x:c>
      <x:c r="I602" s="24" t="s">
        <x:v>311</x:v>
      </x:c>
      <x:c r="J602" s="24" t="s">
        <x:v>455</x:v>
      </x:c>
      <x:c r="K602" s="22" t="s">
        <x:v>11</x:v>
      </x:c>
    </x:row>
    <x:row r="603" hidden="1">
      <x:c r="A603" s="24" t="s">
        <x:v>454</x:v>
      </x:c>
      <x:c r="B603" s="25">
        <x:v>46023</x:v>
      </x:c>
      <x:c r="C603" s="45" t="str">
        <x:f t="shared" si="9"/>
        <x:v>JANEIRO</x:v>
      </x:c>
      <x:c r="D603" s="24" t="s">
        <x:v>80</x:v>
      </x:c>
      <x:c r="E603" s="24" t="s">
        <x:v>24</x:v>
      </x:c>
      <x:c r="F603" s="24" t="s">
        <x:v>66</x:v>
      </x:c>
      <x:c r="G603" s="44">
        <x:v>-52.07</x:v>
      </x:c>
      <x:c r="H603" s="24" t="s">
        <x:v>82</x:v>
      </x:c>
      <x:c r="I603" s="24" t="s">
        <x:v>311</x:v>
      </x:c>
      <x:c r="J603" s="24" t="s">
        <x:v>455</x:v>
      </x:c>
      <x:c r="K603" s="22" t="s">
        <x:v>11</x:v>
      </x:c>
    </x:row>
    <x:row r="604" hidden="1">
      <x:c r="A604" s="24" t="s">
        <x:v>454</x:v>
      </x:c>
      <x:c r="B604" s="25">
        <x:v>46023</x:v>
      </x:c>
      <x:c r="C604" s="45" t="str">
        <x:f t="shared" si="9"/>
        <x:v>JANEIRO</x:v>
      </x:c>
      <x:c r="D604" s="24" t="s">
        <x:v>80</x:v>
      </x:c>
      <x:c r="E604" s="24" t="s">
        <x:v>23</x:v>
      </x:c>
      <x:c r="F604" s="24" t="s">
        <x:v>65</x:v>
      </x:c>
      <x:c r="G604" s="44">
        <x:v>-52.07</x:v>
      </x:c>
      <x:c r="H604" s="24" t="s">
        <x:v>82</x:v>
      </x:c>
      <x:c r="I604" s="24" t="s">
        <x:v>311</x:v>
      </x:c>
      <x:c r="J604" s="24" t="s">
        <x:v>455</x:v>
      </x:c>
      <x:c r="K604" s="22" t="s">
        <x:v>11</x:v>
      </x:c>
    </x:row>
    <x:row r="605" hidden="1">
      <x:c r="A605" s="24" t="s">
        <x:v>454</x:v>
      </x:c>
      <x:c r="B605" s="25">
        <x:v>46023</x:v>
      </x:c>
      <x:c r="C605" s="45" t="str">
        <x:f t="shared" si="9"/>
        <x:v>JANEIRO</x:v>
      </x:c>
      <x:c r="D605" s="24" t="s">
        <x:v>80</x:v>
      </x:c>
      <x:c r="E605" s="24" t="s">
        <x:v>317</x:v>
      </x:c>
      <x:c r="F605" s="24" t="s">
        <x:v>44</x:v>
      </x:c>
      <x:c r="G605" s="44">
        <x:v>-52.07</x:v>
      </x:c>
      <x:c r="H605" s="24" t="s">
        <x:v>82</x:v>
      </x:c>
      <x:c r="I605" s="24" t="s">
        <x:v>311</x:v>
      </x:c>
      <x:c r="J605" s="24" t="s">
        <x:v>455</x:v>
      </x:c>
      <x:c r="K605" s="22" t="s">
        <x:v>11</x:v>
      </x:c>
    </x:row>
    <x:row r="606" hidden="1">
      <x:c r="A606" s="24" t="s">
        <x:v>337</x:v>
      </x:c>
      <x:c r="B606" s="25">
        <x:v>46023</x:v>
      </x:c>
      <x:c r="C606" s="45" t="str">
        <x:f t="shared" si="9"/>
        <x:v>JANEIRO</x:v>
      </x:c>
      <x:c r="D606" s="24" t="s">
        <x:v>227</x:v>
      </x:c>
      <x:c r="E606" s="24" t="s">
        <x:v>339</x:v>
      </x:c>
      <x:c r="F606" s="24" t="s">
        <x:v>314</x:v>
      </x:c>
      <x:c r="G606" s="44">
        <x:v>-3811.13</x:v>
      </x:c>
      <x:c r="H606" s="24" t="s">
        <x:v>82</x:v>
      </x:c>
      <x:c r="I606" s="24" t="s">
        <x:v>456</x:v>
      </x:c>
      <x:c r="J606" s="24" t="s">
        <x:v>455</x:v>
      </x:c>
      <x:c r="K606" s="22" t="s">
        <x:v>11</x:v>
      </x:c>
    </x:row>
    <x:row r="607" hidden="1">
      <x:c r="A607" s="24" t="s">
        <x:v>315</x:v>
      </x:c>
      <x:c r="B607" s="25">
        <x:v>46023</x:v>
      </x:c>
      <x:c r="C607" s="45" t="str">
        <x:f t="shared" si="9"/>
        <x:v>JANEIRO</x:v>
      </x:c>
      <x:c r="D607" s="24" t="s">
        <x:v>162</x:v>
      </x:c>
      <x:c r="E607" s="24" t="s">
        <x:v>317</x:v>
      </x:c>
      <x:c r="F607" s="24" t="s">
        <x:v>44</x:v>
      </x:c>
      <x:c r="G607" s="44">
        <x:v>-400</x:v>
      </x:c>
      <x:c r="H607" s="24" t="s">
        <x:v>82</x:v>
      </x:c>
      <x:c r="I607" s="24" t="s">
        <x:v>311</x:v>
      </x:c>
      <x:c r="J607" s="24" t="s">
        <x:v>455</x:v>
      </x:c>
      <x:c r="K607" s="22" t="s">
        <x:v>11</x:v>
      </x:c>
    </x:row>
    <x:row r="608" hidden="1">
      <x:c r="A608" s="24" t="s">
        <x:v>457</x:v>
      </x:c>
      <x:c r="B608" s="25">
        <x:v>46023</x:v>
      </x:c>
      <x:c r="C608" s="45" t="str">
        <x:f t="shared" si="9"/>
        <x:v>JANEIRO</x:v>
      </x:c>
      <x:c r="D608" s="24" t="s">
        <x:v>89</x:v>
      </x:c>
      <x:c r="E608" s="24" t="s">
        <x:v>458</x:v>
      </x:c>
      <x:c r="F608" s="24" t="s">
        <x:v>44</x:v>
      </x:c>
      <x:c r="G608" s="44">
        <x:v>10998.1</x:v>
      </x:c>
      <x:c r="H608" s="24" t="s">
        <x:v>91</x:v>
      </x:c>
      <x:c r="I608" s="24" t="s">
        <x:v>311</x:v>
      </x:c>
      <x:c r="J608" s="24" t="s">
        <x:v>455</x:v>
      </x:c>
      <x:c r="K608" s="22" t="s">
        <x:v>11</x:v>
      </x:c>
    </x:row>
    <x:row r="609" hidden="1">
      <x:c r="A609" s="24" t="s">
        <x:v>315</x:v>
      </x:c>
      <x:c r="B609" s="25">
        <x:v>46023</x:v>
      </x:c>
      <x:c r="C609" s="45" t="str">
        <x:f t="shared" si="9"/>
        <x:v>JANEIRO</x:v>
      </x:c>
      <x:c r="D609" s="24" t="s">
        <x:v>162</x:v>
      </x:c>
      <x:c r="E609" s="24" t="s">
        <x:v>24</x:v>
      </x:c>
      <x:c r="F609" s="24" t="s">
        <x:v>66</x:v>
      </x:c>
      <x:c r="G609" s="44">
        <x:v>-400</x:v>
      </x:c>
      <x:c r="H609" s="24" t="s">
        <x:v>82</x:v>
      </x:c>
      <x:c r="I609" s="24" t="s">
        <x:v>311</x:v>
      </x:c>
      <x:c r="J609" s="24" t="s">
        <x:v>455</x:v>
      </x:c>
      <x:c r="K609" s="22" t="s">
        <x:v>11</x:v>
      </x:c>
    </x:row>
    <x:row r="610" hidden="1">
      <x:c r="A610" s="24" t="s">
        <x:v>459</x:v>
      </x:c>
      <x:c r="B610" s="25">
        <x:v>46023</x:v>
      </x:c>
      <x:c r="C610" s="45" t="str">
        <x:f t="shared" si="9"/>
        <x:v>JANEIRO</x:v>
      </x:c>
      <x:c r="D610" s="24" t="s">
        <x:v>89</x:v>
      </x:c>
      <x:c r="E610" s="24" t="s">
        <x:v>374</x:v>
      </x:c>
      <x:c r="F610" s="24" t="s">
        <x:v>66</x:v>
      </x:c>
      <x:c r="G610" s="44">
        <x:v>9592</x:v>
      </x:c>
      <x:c r="H610" s="24" t="s">
        <x:v>91</x:v>
      </x:c>
      <x:c r="I610" s="24" t="s">
        <x:v>311</x:v>
      </x:c>
      <x:c r="J610" s="24" t="s">
        <x:v>455</x:v>
      </x:c>
      <x:c r="K610" s="22" t="s">
        <x:v>11</x:v>
      </x:c>
    </x:row>
    <x:row r="611" hidden="1">
      <x:c r="A611" s="24" t="s">
        <x:v>460</x:v>
      </x:c>
      <x:c r="B611" s="25">
        <x:v>46023</x:v>
      </x:c>
      <x:c r="C611" s="45" t="str">
        <x:f t="shared" si="9"/>
        <x:v>JANEIRO</x:v>
      </x:c>
      <x:c r="D611" s="24" t="s">
        <x:v>89</x:v>
      </x:c>
      <x:c r="E611" s="24" t="s">
        <x:v>374</x:v>
      </x:c>
      <x:c r="F611" s="24" t="s">
        <x:v>65</x:v>
      </x:c>
      <x:c r="G611" s="44">
        <x:v>10235.1</x:v>
      </x:c>
      <x:c r="H611" s="24" t="s">
        <x:v>91</x:v>
      </x:c>
      <x:c r="I611" s="24" t="s">
        <x:v>311</x:v>
      </x:c>
      <x:c r="J611" s="24" t="s">
        <x:v>455</x:v>
      </x:c>
      <x:c r="K611" s="22" t="s">
        <x:v>11</x:v>
      </x:c>
    </x:row>
    <x:row r="612" hidden="1">
      <x:c r="A612" s="24" t="s">
        <x:v>461</x:v>
      </x:c>
      <x:c r="B612" s="25">
        <x:v>46023</x:v>
      </x:c>
      <x:c r="C612" s="45" t="str">
        <x:f t="shared" si="9"/>
        <x:v>JANEIRO</x:v>
      </x:c>
      <x:c r="D612" s="24" t="s">
        <x:v>89</x:v>
      </x:c>
      <x:c r="E612" s="24" t="s">
        <x:v>377</x:v>
      </x:c>
      <x:c r="F612" s="24" t="s">
        <x:v>314</x:v>
      </x:c>
      <x:c r="G612" s="44">
        <x:v>13058.2</x:v>
      </x:c>
      <x:c r="H612" s="24" t="s">
        <x:v>91</x:v>
      </x:c>
      <x:c r="I612" s="24" t="s">
        <x:v>311</x:v>
      </x:c>
      <x:c r="J612" s="24" t="s">
        <x:v>455</x:v>
      </x:c>
      <x:c r="K612" s="22" t="s">
        <x:v>11</x:v>
      </x:c>
    </x:row>
    <x:row r="613" hidden="1">
      <x:c r="A613" s="24" t="s">
        <x:v>315</x:v>
      </x:c>
      <x:c r="B613" s="25">
        <x:v>46023</x:v>
      </x:c>
      <x:c r="C613" s="45" t="str">
        <x:f t="shared" si="9"/>
        <x:v>JANEIRO</x:v>
      </x:c>
      <x:c r="D613" s="24" t="s">
        <x:v>162</x:v>
      </x:c>
      <x:c r="E613" s="24" t="s">
        <x:v>23</x:v>
      </x:c>
      <x:c r="F613" s="24" t="s">
        <x:v>65</x:v>
      </x:c>
      <x:c r="G613" s="44">
        <x:v>-400</x:v>
      </x:c>
      <x:c r="H613" s="24" t="s">
        <x:v>82</x:v>
      </x:c>
      <x:c r="I613" s="24" t="s">
        <x:v>311</x:v>
      </x:c>
      <x:c r="J613" s="24" t="s">
        <x:v>462</x:v>
      </x:c>
      <x:c r="K613" s="22" t="s">
        <x:v>11</x:v>
      </x:c>
    </x:row>
    <x:row r="614" hidden="1">
      <x:c r="A614" s="24" t="s">
        <x:v>325</x:v>
      </x:c>
      <x:c r="B614" s="25">
        <x:v>46054</x:v>
      </x:c>
      <x:c r="C614" s="45" t="str">
        <x:f t="shared" si="9"/>
        <x:v>FEVEREIRO</x:v>
      </x:c>
      <x:c r="D614" s="24" t="s">
        <x:v>227</x:v>
      </x:c>
      <x:c r="E614" s="24" t="s">
        <x:v>24</x:v>
      </x:c>
      <x:c r="F614" s="24" t="s">
        <x:v>66</x:v>
      </x:c>
      <x:c r="G614" s="44">
        <x:v>-180</x:v>
      </x:c>
      <x:c r="H614" s="24" t="s">
        <x:v>82</x:v>
      </x:c>
      <x:c r="I614" s="24" t="s">
        <x:v>311</x:v>
      </x:c>
      <x:c r="J614" s="24" t="s">
        <x:v>462</x:v>
      </x:c>
      <x:c r="K614" s="22" t="s">
        <x:v>11</x:v>
      </x:c>
    </x:row>
    <x:row r="615" hidden="1">
      <x:c r="A615" s="24" t="s">
        <x:v>354</x:v>
      </x:c>
      <x:c r="B615" s="25">
        <x:v>46054</x:v>
      </x:c>
      <x:c r="C615" s="45" t="str">
        <x:f t="shared" si="9"/>
        <x:v>FEVEREIRO</x:v>
      </x:c>
      <x:c r="D615" s="24" t="s">
        <x:v>227</x:v>
      </x:c>
      <x:c r="E615" s="24" t="s">
        <x:v>388</x:v>
      </x:c>
      <x:c r="F615" s="24" t="s">
        <x:v>314</x:v>
      </x:c>
      <x:c r="G615" s="44">
        <x:v>-955.31</x:v>
      </x:c>
      <x:c r="H615" s="24" t="s">
        <x:v>82</x:v>
      </x:c>
      <x:c r="I615" s="24" t="s">
        <x:v>311</x:v>
      </x:c>
      <x:c r="J615" s="24" t="s">
        <x:v>463</x:v>
      </x:c>
      <x:c r="K615" s="22" t="s">
        <x:v>11</x:v>
      </x:c>
    </x:row>
    <x:row r="616" hidden="1">
      <x:c r="A616" s="24" t="s">
        <x:v>357</x:v>
      </x:c>
      <x:c r="B616" s="25">
        <x:v>46054</x:v>
      </x:c>
      <x:c r="C616" s="45" t="str">
        <x:f t="shared" si="9"/>
        <x:v>FEVEREIRO</x:v>
      </x:c>
      <x:c r="D616" s="24" t="s">
        <x:v>227</x:v>
      </x:c>
      <x:c r="E616" s="24" t="s">
        <x:v>355</x:v>
      </x:c>
      <x:c r="F616" s="24" t="s">
        <x:v>314</x:v>
      </x:c>
      <x:c r="G616" s="44">
        <x:v>-2210.21</x:v>
      </x:c>
      <x:c r="H616" s="24" t="s">
        <x:v>82</x:v>
      </x:c>
      <x:c r="I616" s="24" t="s">
        <x:v>311</x:v>
      </x:c>
      <x:c r="J616" s="24" t="s">
        <x:v>463</x:v>
      </x:c>
      <x:c r="K616" s="22" t="s">
        <x:v>11</x:v>
      </x:c>
    </x:row>
    <x:row r="617" hidden="1">
      <x:c r="A617" s="24" t="s">
        <x:v>309</x:v>
      </x:c>
      <x:c r="B617" s="25">
        <x:v>46054</x:v>
      </x:c>
      <x:c r="C617" s="45" t="str">
        <x:f t="shared" si="9"/>
        <x:v>FEVEREIRO</x:v>
      </x:c>
      <x:c r="D617" s="24" t="s">
        <x:v>227</x:v>
      </x:c>
      <x:c r="E617" s="24" t="s">
        <x:v>327</x:v>
      </x:c>
      <x:c r="F617" s="24" t="s">
        <x:v>314</x:v>
      </x:c>
      <x:c r="G617" s="44">
        <x:v>-2900.22</x:v>
      </x:c>
      <x:c r="H617" s="24" t="s">
        <x:v>82</x:v>
      </x:c>
      <x:c r="I617" s="24" t="s">
        <x:v>311</x:v>
      </x:c>
      <x:c r="J617" s="24" t="s">
        <x:v>463</x:v>
      </x:c>
      <x:c r="K617" s="22" t="s">
        <x:v>11</x:v>
      </x:c>
    </x:row>
    <x:row r="618" hidden="1">
      <x:c r="A618" s="24" t="s">
        <x:v>309</x:v>
      </x:c>
      <x:c r="B618" s="25">
        <x:v>46054</x:v>
      </x:c>
      <x:c r="C618" s="45" t="str">
        <x:f t="shared" si="9"/>
        <x:v>FEVEREIRO</x:v>
      </x:c>
      <x:c r="D618" s="24" t="s">
        <x:v>227</x:v>
      </x:c>
      <x:c r="E618" s="24" t="s">
        <x:v>327</x:v>
      </x:c>
      <x:c r="F618" s="24" t="s">
        <x:v>44</x:v>
      </x:c>
      <x:c r="G618" s="44">
        <x:v>-2900.22</x:v>
      </x:c>
      <x:c r="H618" s="24" t="s">
        <x:v>82</x:v>
      </x:c>
      <x:c r="I618" s="24" t="s">
        <x:v>311</x:v>
      </x:c>
      <x:c r="J618" s="24" t="s">
        <x:v>463</x:v>
      </x:c>
      <x:c r="K618" s="22" t="s">
        <x:v>11</x:v>
      </x:c>
    </x:row>
    <x:row r="619" hidden="1">
      <x:c r="A619" s="24" t="s">
        <x:v>309</x:v>
      </x:c>
      <x:c r="B619" s="25">
        <x:v>46054</x:v>
      </x:c>
      <x:c r="C619" s="45" t="str">
        <x:f t="shared" si="9"/>
        <x:v>FEVEREIRO</x:v>
      </x:c>
      <x:c r="D619" s="24" t="s">
        <x:v>227</x:v>
      </x:c>
      <x:c r="E619" s="24" t="s">
        <x:v>327</x:v>
      </x:c>
      <x:c r="F619" s="24" t="s">
        <x:v>59</x:v>
      </x:c>
      <x:c r="G619" s="44">
        <x:v>-2900.22</x:v>
      </x:c>
      <x:c r="H619" s="24" t="s">
        <x:v>82</x:v>
      </x:c>
      <x:c r="I619" s="24" t="s">
        <x:v>311</x:v>
      </x:c>
      <x:c r="J619" s="24" t="s">
        <x:v>463</x:v>
      </x:c>
      <x:c r="K619" s="22" t="s">
        <x:v>11</x:v>
      </x:c>
    </x:row>
    <x:row r="620" hidden="1">
      <x:c r="A620" s="24" t="s">
        <x:v>309</x:v>
      </x:c>
      <x:c r="B620" s="25">
        <x:v>46054</x:v>
      </x:c>
      <x:c r="C620" s="45" t="str">
        <x:f t="shared" si="9"/>
        <x:v>FEVEREIRO</x:v>
      </x:c>
      <x:c r="D620" s="24" t="s">
        <x:v>227</x:v>
      </x:c>
      <x:c r="E620" s="24" t="s">
        <x:v>327</x:v>
      </x:c>
      <x:c r="F620" s="24" t="s">
        <x:v>66</x:v>
      </x:c>
      <x:c r="G620" s="44">
        <x:v>-2900.22</x:v>
      </x:c>
      <x:c r="H620" s="24" t="s">
        <x:v>82</x:v>
      </x:c>
      <x:c r="I620" s="24" t="s">
        <x:v>311</x:v>
      </x:c>
      <x:c r="J620" s="24" t="s">
        <x:v>463</x:v>
      </x:c>
      <x:c r="K620" s="22" t="s">
        <x:v>11</x:v>
      </x:c>
    </x:row>
    <x:row r="621" hidden="1">
      <x:c r="A621" s="24" t="s">
        <x:v>309</x:v>
      </x:c>
      <x:c r="B621" s="25">
        <x:v>46054</x:v>
      </x:c>
      <x:c r="C621" s="45" t="str">
        <x:f t="shared" si="9"/>
        <x:v>FEVEREIRO</x:v>
      </x:c>
      <x:c r="D621" s="24" t="s">
        <x:v>227</x:v>
      </x:c>
      <x:c r="E621" s="24" t="s">
        <x:v>327</x:v>
      </x:c>
      <x:c r="F621" s="24" t="s">
        <x:v>65</x:v>
      </x:c>
      <x:c r="G621" s="44">
        <x:v>-2900.22</x:v>
      </x:c>
      <x:c r="H621" s="24" t="s">
        <x:v>82</x:v>
      </x:c>
      <x:c r="I621" s="24" t="s">
        <x:v>311</x:v>
      </x:c>
      <x:c r="J621" s="24" t="s">
        <x:v>463</x:v>
      </x:c>
      <x:c r="K621" s="22" t="s">
        <x:v>11</x:v>
      </x:c>
    </x:row>
    <x:row r="622" hidden="1">
      <x:c r="A622" s="24" t="s">
        <x:v>325</x:v>
      </x:c>
      <x:c r="B622" s="25">
        <x:v>46054</x:v>
      </x:c>
      <x:c r="C622" s="45" t="str">
        <x:f t="shared" si="9"/>
        <x:v>FEVEREIRO</x:v>
      </x:c>
      <x:c r="D622" s="24" t="s">
        <x:v>227</x:v>
      </x:c>
      <x:c r="E622" s="24" t="s">
        <x:v>10</x:v>
      </x:c>
      <x:c r="F622" s="24" t="s">
        <x:v>314</x:v>
      </x:c>
      <x:c r="G622" s="44">
        <x:v>-190</x:v>
      </x:c>
      <x:c r="H622" s="24" t="s">
        <x:v>82</x:v>
      </x:c>
      <x:c r="I622" s="24" t="s">
        <x:v>311</x:v>
      </x:c>
      <x:c r="J622" s="24" t="s">
        <x:v>463</x:v>
      </x:c>
      <x:c r="K622" s="22" t="s">
        <x:v>11</x:v>
      </x:c>
    </x:row>
    <x:row r="623" hidden="1">
      <x:c r="A623" s="24" t="s">
        <x:v>315</x:v>
      </x:c>
      <x:c r="B623" s="25">
        <x:v>46023</x:v>
      </x:c>
      <x:c r="C623" s="45" t="str">
        <x:f t="shared" si="9"/>
        <x:v>JANEIRO</x:v>
      </x:c>
      <x:c r="D623" s="24" t="s">
        <x:v>162</x:v>
      </x:c>
      <x:c r="E623" s="24" t="s">
        <x:v>10</x:v>
      </x:c>
      <x:c r="F623" s="24" t="s">
        <x:v>314</x:v>
      </x:c>
      <x:c r="G623" s="44">
        <x:v>-400</x:v>
      </x:c>
      <x:c r="H623" s="24" t="s">
        <x:v>82</x:v>
      </x:c>
      <x:c r="I623" s="24" t="s">
        <x:v>311</x:v>
      </x:c>
      <x:c r="J623" s="24" t="s">
        <x:v>463</x:v>
      </x:c>
      <x:c r="K623" s="22" t="s">
        <x:v>11</x:v>
      </x:c>
    </x:row>
    <x:row r="624" hidden="1">
      <x:c r="A624" s="24" t="s">
        <x:v>464</x:v>
      </x:c>
      <x:c r="B624" s="25">
        <x:v>46054</x:v>
      </x:c>
      <x:c r="C624" s="45" t="str">
        <x:f t="shared" si="9"/>
        <x:v>FEVEREIRO</x:v>
      </x:c>
      <x:c r="D624" s="24" t="s">
        <x:v>89</x:v>
      </x:c>
      <x:c r="E624" s="24" t="s">
        <x:v>465</x:v>
      </x:c>
      <x:c r="F624" s="24" t="s">
        <x:v>59</x:v>
      </x:c>
      <x:c r="G624" s="44">
        <x:v>11946.4</x:v>
      </x:c>
      <x:c r="H624" s="24" t="s">
        <x:v>91</x:v>
      </x:c>
      <x:c r="I624" s="24" t="s">
        <x:v>311</x:v>
      </x:c>
      <x:c r="J624" s="24" t="s">
        <x:v>463</x:v>
      </x:c>
      <x:c r="K624" s="22" t="s">
        <x:v>11</x:v>
      </x:c>
    </x:row>
    <x:row r="625" hidden="1">
      <x:c r="A625" s="24" t="s">
        <x:v>315</x:v>
      </x:c>
      <x:c r="B625" s="25">
        <x:v>46054</x:v>
      </x:c>
      <x:c r="C625" s="45" t="str">
        <x:f t="shared" si="9"/>
        <x:v>FEVEREIRO</x:v>
      </x:c>
      <x:c r="D625" s="24" t="s">
        <x:v>162</x:v>
      </x:c>
      <x:c r="E625" s="24" t="s">
        <x:v>13</x:v>
      </x:c>
      <x:c r="F625" s="24" t="s">
        <x:v>59</x:v>
      </x:c>
      <x:c r="G625" s="44">
        <x:v>-400</x:v>
      </x:c>
      <x:c r="H625" s="24" t="s">
        <x:v>82</x:v>
      </x:c>
      <x:c r="I625" s="24" t="s">
        <x:v>311</x:v>
      </x:c>
      <x:c r="J625" s="24" t="s">
        <x:v>463</x:v>
      </x:c>
      <x:c r="K625" s="22" t="s">
        <x:v>11</x:v>
      </x:c>
    </x:row>
    <x:row r="626" hidden="1">
      <x:c r="A626" s="24" t="s">
        <x:v>466</x:v>
      </x:c>
      <x:c r="B626" s="25">
        <x:v>46054</x:v>
      </x:c>
      <x:c r="C626" s="45" t="str">
        <x:f t="shared" si="9"/>
        <x:v>FEVEREIRO</x:v>
      </x:c>
      <x:c r="D626" s="24" t="s">
        <x:v>89</x:v>
      </x:c>
      <x:c r="E626" s="24" t="s">
        <x:v>467</x:v>
      </x:c>
      <x:c r="F626" s="24" t="s">
        <x:v>314</x:v>
      </x:c>
      <x:c r="G626" s="44">
        <x:v>3428.8</x:v>
      </x:c>
      <x:c r="H626" s="24" t="s">
        <x:v>91</x:v>
      </x:c>
      <x:c r="I626" s="24" t="s">
        <x:v>311</x:v>
      </x:c>
      <x:c r="J626" s="24" t="s">
        <x:v>463</x:v>
      </x:c>
      <x:c r="K626" s="22" t="s">
        <x:v>11</x:v>
      </x:c>
    </x:row>
    <x:row r="627" hidden="1">
      <x:c r="A627" s="24" t="s">
        <x:v>315</x:v>
      </x:c>
      <x:c r="B627" s="25">
        <x:v>46054</x:v>
      </x:c>
      <x:c r="C627" s="45" t="str">
        <x:f t="shared" si="9"/>
        <x:v>FEVEREIRO</x:v>
      </x:c>
      <x:c r="D627" s="24" t="s">
        <x:v>162</x:v>
      </x:c>
      <x:c r="E627" s="24" t="s">
        <x:v>10</x:v>
      </x:c>
      <x:c r="F627" s="24" t="s">
        <x:v>314</x:v>
      </x:c>
      <x:c r="G627" s="44">
        <x:v>-400</x:v>
      </x:c>
      <x:c r="H627" s="24" t="s">
        <x:v>82</x:v>
      </x:c>
      <x:c r="I627" s="24" t="s">
        <x:v>311</x:v>
      </x:c>
      <x:c r="J627" s="24" t="s">
        <x:v>463</x:v>
      </x:c>
      <x:c r="K627" s="22" t="s">
        <x:v>11</x:v>
      </x:c>
    </x:row>
    <x:row r="628" hidden="1">
      <x:c r="A628" s="24" t="s">
        <x:v>335</x:v>
      </x:c>
      <x:c r="B628" s="25">
        <x:v>46054</x:v>
      </x:c>
      <x:c r="C628" s="45" t="str">
        <x:f t="shared" si="9"/>
        <x:v>FEVEREIRO</x:v>
      </x:c>
      <x:c r="D628" s="24" t="s">
        <x:v>132</x:v>
      </x:c>
      <x:c r="E628" s="24" t="s">
        <x:v>336</x:v>
      </x:c>
      <x:c r="F628" s="24" t="s">
        <x:v>59</x:v>
      </x:c>
      <x:c r="G628" s="44">
        <x:v>-2487.64</x:v>
      </x:c>
      <x:c r="H628" s="24" t="s">
        <x:v>82</x:v>
      </x:c>
      <x:c r="I628" s="24" t="s">
        <x:v>311</x:v>
      </x:c>
      <x:c r="J628" s="24" t="s">
        <x:v>468</x:v>
      </x:c>
      <x:c r="K628" s="22" t="s">
        <x:v>11</x:v>
      </x:c>
    </x:row>
    <x:row r="629" hidden="1">
      <x:c r="A629" s="24" t="s">
        <x:v>315</x:v>
      </x:c>
      <x:c r="B629" s="25">
        <x:v>46054</x:v>
      </x:c>
      <x:c r="C629" s="45" t="str">
        <x:f t="shared" si="9"/>
        <x:v>FEVEREIRO</x:v>
      </x:c>
      <x:c r="D629" s="24" t="s">
        <x:v>162</x:v>
      </x:c>
      <x:c r="E629" s="24" t="s">
        <x:v>317</x:v>
      </x:c>
      <x:c r="F629" s="24" t="s">
        <x:v>44</x:v>
      </x:c>
      <x:c r="G629" s="44">
        <x:v>-400</x:v>
      </x:c>
      <x:c r="H629" s="24" t="s">
        <x:v>82</x:v>
      </x:c>
      <x:c r="I629" s="24" t="s">
        <x:v>311</x:v>
      </x:c>
      <x:c r="J629" s="24" t="s">
        <x:v>468</x:v>
      </x:c>
      <x:c r="K629" s="22" t="s">
        <x:v>11</x:v>
      </x:c>
    </x:row>
    <x:row r="630" hidden="1">
      <x:c r="A630" s="24" t="s">
        <x:v>315</x:v>
      </x:c>
      <x:c r="B630" s="25">
        <x:v>46054</x:v>
      </x:c>
      <x:c r="C630" s="45" t="str">
        <x:f t="shared" si="9"/>
        <x:v>FEVEREIRO</x:v>
      </x:c>
      <x:c r="D630" s="24" t="s">
        <x:v>162</x:v>
      </x:c>
      <x:c r="E630" s="24" t="s">
        <x:v>24</x:v>
      </x:c>
      <x:c r="F630" s="24" t="s">
        <x:v>66</x:v>
      </x:c>
      <x:c r="G630" s="44">
        <x:v>-400</x:v>
      </x:c>
      <x:c r="H630" s="24" t="s">
        <x:v>82</x:v>
      </x:c>
      <x:c r="I630" s="24" t="s">
        <x:v>311</x:v>
      </x:c>
      <x:c r="J630" s="24" t="s">
        <x:v>468</x:v>
      </x:c>
      <x:c r="K630" s="22" t="s">
        <x:v>11</x:v>
      </x:c>
    </x:row>
    <x:row r="631" hidden="1">
      <x:c r="A631" s="24" t="s">
        <x:v>469</x:v>
      </x:c>
      <x:c r="B631" s="25">
        <x:v>46054</x:v>
      </x:c>
      <x:c r="C631" s="45" t="str">
        <x:f t="shared" si="9"/>
        <x:v>FEVEREIRO</x:v>
      </x:c>
      <x:c r="D631" s="24" t="s">
        <x:v>89</x:v>
      </x:c>
      <x:c r="E631" s="24" t="s">
        <x:v>323</x:v>
      </x:c>
      <x:c r="F631" s="24" t="s">
        <x:v>44</x:v>
      </x:c>
      <x:c r="G631" s="44">
        <x:v>12508</x:v>
      </x:c>
      <x:c r="H631" s="24" t="s">
        <x:v>91</x:v>
      </x:c>
      <x:c r="I631" s="24" t="s">
        <x:v>311</x:v>
      </x:c>
      <x:c r="J631" s="24" t="s">
        <x:v>468</x:v>
      </x:c>
      <x:c r="K631" s="22" t="s">
        <x:v>11</x:v>
      </x:c>
    </x:row>
    <x:row r="632" hidden="1">
      <x:c r="A632" s="24" t="s">
        <x:v>470</x:v>
      </x:c>
      <x:c r="B632" s="25">
        <x:v>46054</x:v>
      </x:c>
      <x:c r="C632" s="45" t="str">
        <x:f t="shared" si="9"/>
        <x:v>FEVEREIRO</x:v>
      </x:c>
      <x:c r="D632" s="24" t="s">
        <x:v>89</x:v>
      </x:c>
      <x:c r="E632" s="24" t="s">
        <x:v>344</x:v>
      </x:c>
      <x:c r="F632" s="24" t="s">
        <x:v>66</x:v>
      </x:c>
      <x:c r="G632" s="44">
        <x:v>9635.6</x:v>
      </x:c>
      <x:c r="H632" s="24" t="s">
        <x:v>91</x:v>
      </x:c>
      <x:c r="I632" s="24" t="s">
        <x:v>311</x:v>
      </x:c>
      <x:c r="J632" s="24" t="s">
        <x:v>468</x:v>
      </x:c>
      <x:c r="K632" s="22" t="s">
        <x:v>11</x:v>
      </x:c>
    </x:row>
    <x:row r="633" hidden="1">
      <x:c r="A633" s="24" t="s">
        <x:v>325</x:v>
      </x:c>
      <x:c r="B633" s="25">
        <x:v>46054</x:v>
      </x:c>
      <x:c r="C633" s="45" t="str">
        <x:f t="shared" si="9"/>
        <x:v>FEVEREIRO</x:v>
      </x:c>
      <x:c r="D633" s="24" t="s">
        <x:v>227</x:v>
      </x:c>
      <x:c r="E633" s="24" t="s">
        <x:v>410</x:v>
      </x:c>
      <x:c r="F633" s="24" t="s">
        <x:v>385</x:v>
      </x:c>
      <x:c r="G633" s="44">
        <x:v>-70</x:v>
      </x:c>
      <x:c r="H633" s="24" t="s">
        <x:v>82</x:v>
      </x:c>
      <x:c r="I633" s="24" t="s">
        <x:v>311</x:v>
      </x:c>
      <x:c r="J633" s="24" t="s">
        <x:v>471</x:v>
      </x:c>
      <x:c r="K633" s="22" t="s">
        <x:v>11</x:v>
      </x:c>
    </x:row>
    <x:row r="634" hidden="1">
      <x:c r="A634" s="24" t="s">
        <x:v>337</x:v>
      </x:c>
      <x:c r="B634" s="25">
        <x:v>46054</x:v>
      </x:c>
      <x:c r="C634" s="45" t="str">
        <x:f t="shared" si="9"/>
        <x:v>FEVEREIRO</x:v>
      </x:c>
      <x:c r="D634" s="24" t="s">
        <x:v>227</x:v>
      </x:c>
      <x:c r="E634" s="24" t="s">
        <x:v>338</x:v>
      </x:c>
      <x:c r="F634" s="24" t="s">
        <x:v>44</x:v>
      </x:c>
      <x:c r="G634" s="44">
        <x:v>-1388.66</x:v>
      </x:c>
      <x:c r="H634" s="24" t="s">
        <x:v>82</x:v>
      </x:c>
      <x:c r="I634" s="24" t="s">
        <x:v>311</x:v>
      </x:c>
      <x:c r="J634" s="24" t="s">
        <x:v>471</x:v>
      </x:c>
      <x:c r="K634" s="22" t="s">
        <x:v>11</x:v>
      </x:c>
    </x:row>
    <x:row r="635" hidden="1">
      <x:c r="A635" s="24" t="s">
        <x:v>325</x:v>
      </x:c>
      <x:c r="B635" s="25">
        <x:v>46054</x:v>
      </x:c>
      <x:c r="C635" s="45" t="str">
        <x:f t="shared" si="9"/>
        <x:v>FEVEREIRO</x:v>
      </x:c>
      <x:c r="D635" s="24" t="s">
        <x:v>227</x:v>
      </x:c>
      <x:c r="E635" s="24" t="s">
        <x:v>317</x:v>
      </x:c>
      <x:c r="F635" s="24" t="s">
        <x:v>44</x:v>
      </x:c>
      <x:c r="G635" s="44">
        <x:v>-250</x:v>
      </x:c>
      <x:c r="H635" s="24" t="s">
        <x:v>82</x:v>
      </x:c>
      <x:c r="I635" s="24" t="s">
        <x:v>311</x:v>
      </x:c>
      <x:c r="J635" s="24" t="s">
        <x:v>471</x:v>
      </x:c>
      <x:c r="K635" s="22" t="s">
        <x:v>11</x:v>
      </x:c>
    </x:row>
    <x:row r="636" hidden="1">
      <x:c r="A636" s="24" t="s">
        <x:v>315</x:v>
      </x:c>
      <x:c r="B636" s="25">
        <x:v>46054</x:v>
      </x:c>
      <x:c r="C636" s="45" t="str">
        <x:f t="shared" si="9"/>
        <x:v>FEVEREIRO</x:v>
      </x:c>
      <x:c r="D636" s="24" t="s">
        <x:v>162</x:v>
      </x:c>
      <x:c r="E636" s="24" t="s">
        <x:v>23</x:v>
      </x:c>
      <x:c r="F636" s="24" t="s">
        <x:v>65</x:v>
      </x:c>
      <x:c r="G636" s="44">
        <x:v>-400</x:v>
      </x:c>
      <x:c r="H636" s="24" t="s">
        <x:v>82</x:v>
      </x:c>
      <x:c r="I636" s="24" t="s">
        <x:v>311</x:v>
      </x:c>
      <x:c r="J636" s="24" t="s">
        <x:v>471</x:v>
      </x:c>
      <x:c r="K636" s="22" t="s">
        <x:v>11</x:v>
      </x:c>
    </x:row>
    <x:row r="637" hidden="1">
      <x:c r="A637" s="24" t="s">
        <x:v>472</x:v>
      </x:c>
      <x:c r="B637" s="25">
        <x:v>46054</x:v>
      </x:c>
      <x:c r="C637" s="45" t="str">
        <x:f t="shared" si="9"/>
        <x:v>FEVEREIRO</x:v>
      </x:c>
      <x:c r="D637" s="24" t="s">
        <x:v>227</x:v>
      </x:c>
      <x:c r="E637" s="24" t="s">
        <x:v>10</x:v>
      </x:c>
      <x:c r="F637" s="24" t="s">
        <x:v>314</x:v>
      </x:c>
      <x:c r="G637" s="44">
        <x:v>-140</x:v>
      </x:c>
      <x:c r="H637" s="24" t="s">
        <x:v>82</x:v>
      </x:c>
      <x:c r="I637" s="24" t="s">
        <x:v>311</x:v>
      </x:c>
      <x:c r="J637" s="24" t="s">
        <x:v>471</x:v>
      </x:c>
      <x:c r="K637" s="22" t="s">
        <x:v>11</x:v>
      </x:c>
    </x:row>
    <x:row r="638" hidden="1">
      <x:c r="A638" s="24" t="s">
        <x:v>473</x:v>
      </x:c>
      <x:c r="B638" s="25">
        <x:v>46054</x:v>
      </x:c>
      <x:c r="C638" s="45" t="str">
        <x:f t="shared" si="9"/>
        <x:v>FEVEREIRO</x:v>
      </x:c>
      <x:c r="D638" s="24" t="s">
        <x:v>89</x:v>
      </x:c>
      <x:c r="E638" s="24" t="s">
        <x:v>427</x:v>
      </x:c>
      <x:c r="F638" s="24" t="s">
        <x:v>65</x:v>
      </x:c>
      <x:c r="G638" s="44">
        <x:v>9788.2000000000007</x:v>
      </x:c>
      <x:c r="H638" s="24" t="s">
        <x:v>91</x:v>
      </x:c>
      <x:c r="I638" s="24" t="s">
        <x:v>311</x:v>
      </x:c>
      <x:c r="J638" s="24" t="s">
        <x:v>471</x:v>
      </x:c>
      <x:c r="K638" s="22" t="s">
        <x:v>11</x:v>
      </x:c>
    </x:row>
    <x:row r="639" hidden="1">
      <x:c r="A639" s="24" t="s">
        <x:v>357</x:v>
      </x:c>
      <x:c r="B639" s="25">
        <x:v>46054</x:v>
      </x:c>
      <x:c r="C639" s="45" t="str">
        <x:f t="shared" si="9"/>
        <x:v>FEVEREIRO</x:v>
      </x:c>
      <x:c r="D639" s="24" t="s">
        <x:v>227</x:v>
      </x:c>
      <x:c r="E639" s="24" t="s">
        <x:v>440</x:v>
      </x:c>
      <x:c r="F639" s="24" t="s">
        <x:v>44</x:v>
      </x:c>
      <x:c r="G639" s="44">
        <x:v>-318</x:v>
      </x:c>
      <x:c r="H639" s="24" t="s">
        <x:v>82</x:v>
      </x:c>
      <x:c r="I639" s="24" t="s">
        <x:v>311</x:v>
      </x:c>
      <x:c r="J639" s="24" t="s">
        <x:v>474</x:v>
      </x:c>
      <x:c r="K639" s="22" t="s">
        <x:v>11</x:v>
      </x:c>
    </x:row>
    <x:row r="640" hidden="1">
      <x:c r="A640" s="24" t="s">
        <x:v>115</x:v>
      </x:c>
      <x:c r="B640" s="25">
        <x:v>46054</x:v>
      </x:c>
      <x:c r="C640" s="45" t="str">
        <x:f t="shared" si="9"/>
        <x:v>FEVEREIRO</x:v>
      </x:c>
      <x:c r="D640" s="24" t="s">
        <x:v>116</x:v>
      </x:c>
      <x:c r="E640" s="24" t="s">
        <x:v>347</x:v>
      </x:c>
      <x:c r="F640" s="24" t="s">
        <x:v>59</x:v>
      </x:c>
      <x:c r="G640" s="44">
        <x:v>-5172.5600000000004</x:v>
      </x:c>
      <x:c r="H640" s="24" t="s">
        <x:v>82</x:v>
      </x:c>
      <x:c r="I640" s="24" t="s">
        <x:v>311</x:v>
      </x:c>
      <x:c r="J640" s="24" t="s">
        <x:v>474</x:v>
      </x:c>
      <x:c r="K640" s="22" t="s">
        <x:v>11</x:v>
      </x:c>
    </x:row>
    <x:row r="641" hidden="1">
      <x:c r="A641" s="24" t="s">
        <x:v>115</x:v>
      </x:c>
      <x:c r="B641" s="25">
        <x:v>46054</x:v>
      </x:c>
      <x:c r="C641" s="45" t="str">
        <x:f t="shared" si="9"/>
        <x:v>FEVEREIRO</x:v>
      </x:c>
      <x:c r="D641" s="24" t="s">
        <x:v>116</x:v>
      </x:c>
      <x:c r="E641" s="24" t="s">
        <x:v>347</x:v>
      </x:c>
      <x:c r="F641" s="24" t="s">
        <x:v>59</x:v>
      </x:c>
      <x:c r="G641" s="44">
        <x:v>-8075.09</x:v>
      </x:c>
      <x:c r="H641" s="24" t="s">
        <x:v>82</x:v>
      </x:c>
      <x:c r="I641" s="24" t="s">
        <x:v>311</x:v>
      </x:c>
      <x:c r="J641" s="24" t="s">
        <x:v>474</x:v>
      </x:c>
      <x:c r="K641" s="22" t="s">
        <x:v>11</x:v>
      </x:c>
    </x:row>
    <x:row r="642" hidden="1">
      <x:c r="A642" s="24" t="s">
        <x:v>115</x:v>
      </x:c>
      <x:c r="B642" s="25">
        <x:v>46054</x:v>
      </x:c>
      <x:c r="C642" s="45" t="str">
        <x:f t="shared" ref="C642:C705" si="10">UPPER(TEXT(B642,"MMMM"))</x:f>
        <x:v>FEBRUARY</x:v>
      </x:c>
      <x:c r="D642" s="24" t="s">
        <x:v>116</x:v>
      </x:c>
      <x:c r="E642" s="24" t="s">
        <x:v>347</x:v>
      </x:c>
      <x:c r="F642" s="24" t="s">
        <x:v>65</x:v>
      </x:c>
      <x:c r="G642" s="44">
        <x:v>-2135.5500000000002</x:v>
      </x:c>
      <x:c r="H642" s="24" t="s">
        <x:v>82</x:v>
      </x:c>
      <x:c r="I642" s="24" t="s">
        <x:v>311</x:v>
      </x:c>
      <x:c r="J642" s="24" t="s">
        <x:v>474</x:v>
      </x:c>
      <x:c r="K642" s="22" t="s">
        <x:v>11</x:v>
      </x:c>
    </x:row>
    <x:row r="643" hidden="1">
      <x:c r="A643" s="24" t="s">
        <x:v>115</x:v>
      </x:c>
      <x:c r="B643" s="25">
        <x:v>46054</x:v>
      </x:c>
      <x:c r="C643" s="45" t="str">
        <x:f t="shared" si="10"/>
        <x:v>FEVEREIRO</x:v>
      </x:c>
      <x:c r="D643" s="24" t="s">
        <x:v>116</x:v>
      </x:c>
      <x:c r="E643" s="24" t="s">
        <x:v>347</x:v>
      </x:c>
      <x:c r="F643" s="24" t="s">
        <x:v>66</x:v>
      </x:c>
      <x:c r="G643" s="44">
        <x:v>-2206.5</x:v>
      </x:c>
      <x:c r="H643" s="24" t="s">
        <x:v>82</x:v>
      </x:c>
      <x:c r="I643" s="24" t="s">
        <x:v>311</x:v>
      </x:c>
      <x:c r="J643" s="24" t="s">
        <x:v>474</x:v>
      </x:c>
      <x:c r="K643" s="22" t="s">
        <x:v>11</x:v>
      </x:c>
    </x:row>
    <x:row r="644" hidden="1">
      <x:c r="A644" s="24" t="s">
        <x:v>112</x:v>
      </x:c>
      <x:c r="B644" s="25">
        <x:v>46054</x:v>
      </x:c>
      <x:c r="C644" s="45" t="str">
        <x:f t="shared" si="10"/>
        <x:v>FEVEREIRO</x:v>
      </x:c>
      <x:c r="D644" s="24" t="s">
        <x:v>112</x:v>
      </x:c>
      <x:c r="E644" s="24" t="s">
        <x:v>333</x:v>
      </x:c>
      <x:c r="F644" s="24" t="s">
        <x:v>314</x:v>
      </x:c>
      <x:c r="G644" s="44">
        <x:v>-28000</x:v>
      </x:c>
      <x:c r="H644" s="24" t="s">
        <x:v>82</x:v>
      </x:c>
      <x:c r="I644" s="24" t="s">
        <x:v>311</x:v>
      </x:c>
      <x:c r="J644" s="24" t="s">
        <x:v>474</x:v>
      </x:c>
      <x:c r="K644" s="22" t="s">
        <x:v>11</x:v>
      </x:c>
    </x:row>
    <x:row r="645" hidden="1">
      <x:c r="A645" s="24" t="s">
        <x:v>475</x:v>
      </x:c>
      <x:c r="B645" s="25">
        <x:v>46054</x:v>
      </x:c>
      <x:c r="C645" s="45" t="str">
        <x:f t="shared" si="10"/>
        <x:v>FEVEREIRO</x:v>
      </x:c>
      <x:c r="D645" s="24" t="s">
        <x:v>89</x:v>
      </x:c>
      <x:c r="E645" s="24" t="s">
        <x:v>374</x:v>
      </x:c>
      <x:c r="F645" s="24" t="s">
        <x:v>59</x:v>
      </x:c>
      <x:c r="G645" s="44">
        <x:v>13047.3</x:v>
      </x:c>
      <x:c r="H645" s="24" t="s">
        <x:v>91</x:v>
      </x:c>
      <x:c r="I645" s="24" t="s">
        <x:v>311</x:v>
      </x:c>
      <x:c r="J645" s="24" t="s">
        <x:v>474</x:v>
      </x:c>
      <x:c r="K645" s="22" t="s">
        <x:v>11</x:v>
      </x:c>
    </x:row>
    <x:row r="646" hidden="1">
      <x:c r="A646" s="24" t="s">
        <x:v>315</x:v>
      </x:c>
      <x:c r="B646" s="25">
        <x:v>46054</x:v>
      </x:c>
      <x:c r="C646" s="45" t="str">
        <x:f t="shared" si="10"/>
        <x:v>FEVEREIRO</x:v>
      </x:c>
      <x:c r="D646" s="24" t="s">
        <x:v>162</x:v>
      </x:c>
      <x:c r="E646" s="24" t="s">
        <x:v>13</x:v>
      </x:c>
      <x:c r="F646" s="24" t="s">
        <x:v>59</x:v>
      </x:c>
      <x:c r="G646" s="44">
        <x:v>-400</x:v>
      </x:c>
      <x:c r="H646" s="24" t="s">
        <x:v>82</x:v>
      </x:c>
      <x:c r="I646" s="24" t="s">
        <x:v>311</x:v>
      </x:c>
      <x:c r="J646" s="24" t="s">
        <x:v>474</x:v>
      </x:c>
      <x:c r="K646" s="22" t="s">
        <x:v>11</x:v>
      </x:c>
    </x:row>
    <x:row r="647" hidden="1">
      <x:c r="A647" s="24" t="s">
        <x:v>332</x:v>
      </x:c>
      <x:c r="B647" s="25">
        <x:v>46054</x:v>
      </x:c>
      <x:c r="C647" s="45" t="str">
        <x:f t="shared" si="10"/>
        <x:v>FEVEREIRO</x:v>
      </x:c>
      <x:c r="D647" s="24" t="s">
        <x:v>165</x:v>
      </x:c>
      <x:c r="E647" s="24" t="s">
        <x:v>13</x:v>
      </x:c>
      <x:c r="F647" s="24" t="s">
        <x:v>59</x:v>
      </x:c>
      <x:c r="G647" s="44">
        <x:v>-2738.56</x:v>
      </x:c>
      <x:c r="H647" s="24" t="s">
        <x:v>82</x:v>
      </x:c>
      <x:c r="I647" s="24" t="s">
        <x:v>311</x:v>
      </x:c>
      <x:c r="J647" s="24" t="s">
        <x:v>474</x:v>
      </x:c>
      <x:c r="K647" s="22" t="s">
        <x:v>11</x:v>
      </x:c>
    </x:row>
    <x:row r="648" hidden="1">
      <x:c r="A648" s="24" t="s">
        <x:v>332</x:v>
      </x:c>
      <x:c r="B648" s="25">
        <x:v>46054</x:v>
      </x:c>
      <x:c r="C648" s="45" t="str">
        <x:f t="shared" si="10"/>
        <x:v>FEVEREIRO</x:v>
      </x:c>
      <x:c r="D648" s="24" t="s">
        <x:v>165</x:v>
      </x:c>
      <x:c r="E648" s="24" t="s">
        <x:v>13</x:v>
      </x:c>
      <x:c r="F648" s="24" t="s">
        <x:v>59</x:v>
      </x:c>
      <x:c r="G648" s="44">
        <x:v>-1316</x:v>
      </x:c>
      <x:c r="H648" s="24" t="s">
        <x:v>82</x:v>
      </x:c>
      <x:c r="I648" s="24" t="s">
        <x:v>311</x:v>
      </x:c>
      <x:c r="J648" s="24" t="s">
        <x:v>474</x:v>
      </x:c>
      <x:c r="K648" s="22" t="s">
        <x:v>11</x:v>
      </x:c>
    </x:row>
    <x:row r="649" hidden="1">
      <x:c r="A649" s="24" t="s">
        <x:v>332</x:v>
      </x:c>
      <x:c r="B649" s="25">
        <x:v>46054</x:v>
      </x:c>
      <x:c r="C649" s="45" t="str">
        <x:f t="shared" si="10"/>
        <x:v>FEVEREIRO</x:v>
      </x:c>
      <x:c r="D649" s="24" t="s">
        <x:v>165</x:v>
      </x:c>
      <x:c r="E649" s="24" t="s">
        <x:v>10</x:v>
      </x:c>
      <x:c r="F649" s="24" t="s">
        <x:v>314</x:v>
      </x:c>
      <x:c r="G649" s="44">
        <x:v>-4053.94</x:v>
      </x:c>
      <x:c r="H649" s="24" t="s">
        <x:v>82</x:v>
      </x:c>
      <x:c r="I649" s="24" t="s">
        <x:v>311</x:v>
      </x:c>
      <x:c r="J649" s="24" t="s">
        <x:v>474</x:v>
      </x:c>
      <x:c r="K649" s="22" t="s">
        <x:v>11</x:v>
      </x:c>
    </x:row>
    <x:row r="650" hidden="1">
      <x:c r="A650" s="24" t="s">
        <x:v>332</x:v>
      </x:c>
      <x:c r="B650" s="25">
        <x:v>46054</x:v>
      </x:c>
      <x:c r="C650" s="45" t="str">
        <x:f t="shared" si="10"/>
        <x:v>FEVEREIRO</x:v>
      </x:c>
      <x:c r="D650" s="24" t="s">
        <x:v>165</x:v>
      </x:c>
      <x:c r="E650" s="24" t="s">
        <x:v>317</x:v>
      </x:c>
      <x:c r="F650" s="24" t="s">
        <x:v>44</x:v>
      </x:c>
      <x:c r="G650" s="44">
        <x:v>-4053.94</x:v>
      </x:c>
      <x:c r="H650" s="24" t="s">
        <x:v>82</x:v>
      </x:c>
      <x:c r="I650" s="24" t="s">
        <x:v>311</x:v>
      </x:c>
      <x:c r="J650" s="24" t="s">
        <x:v>474</x:v>
      </x:c>
      <x:c r="K650" s="22" t="s">
        <x:v>11</x:v>
      </x:c>
    </x:row>
    <x:row r="651" hidden="1">
      <x:c r="A651" s="24" t="s">
        <x:v>332</x:v>
      </x:c>
      <x:c r="B651" s="25">
        <x:v>46054</x:v>
      </x:c>
      <x:c r="C651" s="45" t="str">
        <x:f t="shared" si="10"/>
        <x:v>FEVEREIRO</x:v>
      </x:c>
      <x:c r="D651" s="24" t="s">
        <x:v>165</x:v>
      </x:c>
      <x:c r="E651" s="24" t="s">
        <x:v>24</x:v>
      </x:c>
      <x:c r="F651" s="24" t="s">
        <x:v>66</x:v>
      </x:c>
      <x:c r="G651" s="44">
        <x:v>-4053.94</x:v>
      </x:c>
      <x:c r="H651" s="24" t="s">
        <x:v>82</x:v>
      </x:c>
      <x:c r="I651" s="24" t="s">
        <x:v>311</x:v>
      </x:c>
      <x:c r="J651" s="24" t="s">
        <x:v>474</x:v>
      </x:c>
      <x:c r="K651" s="22" t="s">
        <x:v>11</x:v>
      </x:c>
    </x:row>
    <x:row r="652" hidden="1">
      <x:c r="A652" s="24" t="s">
        <x:v>332</x:v>
      </x:c>
      <x:c r="B652" s="25">
        <x:v>46054</x:v>
      </x:c>
      <x:c r="C652" s="45" t="str">
        <x:f t="shared" si="10"/>
        <x:v>FEVEREIRO</x:v>
      </x:c>
      <x:c r="D652" s="24" t="s">
        <x:v>165</x:v>
      </x:c>
      <x:c r="E652" s="24" t="s">
        <x:v>23</x:v>
      </x:c>
      <x:c r="F652" s="24" t="s">
        <x:v>65</x:v>
      </x:c>
      <x:c r="G652" s="44">
        <x:v>-4053.94</x:v>
      </x:c>
      <x:c r="H652" s="24" t="s">
        <x:v>82</x:v>
      </x:c>
      <x:c r="I652" s="24" t="s">
        <x:v>311</x:v>
      </x:c>
      <x:c r="J652" s="24" t="s">
        <x:v>474</x:v>
      </x:c>
      <x:c r="K652" s="22" t="s">
        <x:v>11</x:v>
      </x:c>
    </x:row>
    <x:row r="653" hidden="1">
      <x:c r="A653" s="24" t="s">
        <x:v>309</x:v>
      </x:c>
      <x:c r="B653" s="25">
        <x:v>46054</x:v>
      </x:c>
      <x:c r="C653" s="45" t="str">
        <x:f t="shared" si="10"/>
        <x:v>FEVEREIRO</x:v>
      </x:c>
      <x:c r="D653" s="24" t="s">
        <x:v>227</x:v>
      </x:c>
      <x:c r="E653" s="24" t="s">
        <x:v>310</x:v>
      </x:c>
      <x:c r="F653" s="24" t="s">
        <x:v>44</x:v>
      </x:c>
      <x:c r="G653" s="44">
        <x:v>-583</x:v>
      </x:c>
      <x:c r="H653" s="24" t="s">
        <x:v>82</x:v>
      </x:c>
      <x:c r="I653" s="24" t="s">
        <x:v>311</x:v>
      </x:c>
      <x:c r="J653" s="24" t="s">
        <x:v>476</x:v>
      </x:c>
      <x:c r="K653" s="22" t="s">
        <x:v>11</x:v>
      </x:c>
    </x:row>
    <x:row r="654" hidden="1">
      <x:c r="A654" s="24" t="s">
        <x:v>309</x:v>
      </x:c>
      <x:c r="B654" s="25">
        <x:v>46054</x:v>
      </x:c>
      <x:c r="C654" s="45" t="str">
        <x:f t="shared" si="10"/>
        <x:v>FEVEREIRO</x:v>
      </x:c>
      <x:c r="D654" s="24" t="s">
        <x:v>227</x:v>
      </x:c>
      <x:c r="E654" s="24" t="s">
        <x:v>313</x:v>
      </x:c>
      <x:c r="F654" s="24" t="s">
        <x:v>314</x:v>
      </x:c>
      <x:c r="G654" s="44">
        <x:v>-8211.3220000000001</x:v>
      </x:c>
      <x:c r="H654" s="24" t="s">
        <x:v>82</x:v>
      </x:c>
      <x:c r="I654" s="24" t="s">
        <x:v>311</x:v>
      </x:c>
      <x:c r="J654" s="24" t="s">
        <x:v>476</x:v>
      </x:c>
      <x:c r="K654" s="22" t="s">
        <x:v>11</x:v>
      </x:c>
    </x:row>
    <x:row r="655" hidden="1">
      <x:c r="A655" s="24" t="s">
        <x:v>309</x:v>
      </x:c>
      <x:c r="B655" s="25">
        <x:v>46054</x:v>
      </x:c>
      <x:c r="C655" s="45" t="str">
        <x:f t="shared" si="10"/>
        <x:v>FEVEREIRO</x:v>
      </x:c>
      <x:c r="D655" s="24" t="s">
        <x:v>227</x:v>
      </x:c>
      <x:c r="E655" s="24" t="s">
        <x:v>313</x:v>
      </x:c>
      <x:c r="F655" s="24" t="s">
        <x:v>44</x:v>
      </x:c>
      <x:c r="G655" s="44">
        <x:v>-8211.3220000000001</x:v>
      </x:c>
      <x:c r="H655" s="24" t="s">
        <x:v>82</x:v>
      </x:c>
      <x:c r="I655" s="24" t="s">
        <x:v>311</x:v>
      </x:c>
      <x:c r="J655" s="24" t="s">
        <x:v>476</x:v>
      </x:c>
      <x:c r="K655" s="22" t="s">
        <x:v>11</x:v>
      </x:c>
    </x:row>
    <x:row r="656" hidden="1">
      <x:c r="A656" s="24" t="s">
        <x:v>309</x:v>
      </x:c>
      <x:c r="B656" s="25">
        <x:v>46054</x:v>
      </x:c>
      <x:c r="C656" s="45" t="str">
        <x:f t="shared" si="10"/>
        <x:v>FEVEREIRO</x:v>
      </x:c>
      <x:c r="D656" s="24" t="s">
        <x:v>227</x:v>
      </x:c>
      <x:c r="E656" s="24" t="s">
        <x:v>313</x:v>
      </x:c>
      <x:c r="F656" s="24" t="s">
        <x:v>59</x:v>
      </x:c>
      <x:c r="G656" s="44">
        <x:v>-8211.3220000000001</x:v>
      </x:c>
      <x:c r="H656" s="24" t="s">
        <x:v>82</x:v>
      </x:c>
      <x:c r="I656" s="24" t="s">
        <x:v>311</x:v>
      </x:c>
      <x:c r="J656" s="24" t="s">
        <x:v>476</x:v>
      </x:c>
      <x:c r="K656" s="22" t="s">
        <x:v>11</x:v>
      </x:c>
    </x:row>
    <x:row r="657" hidden="1">
      <x:c r="A657" s="24" t="s">
        <x:v>309</x:v>
      </x:c>
      <x:c r="B657" s="25">
        <x:v>46054</x:v>
      </x:c>
      <x:c r="C657" s="45" t="str">
        <x:f t="shared" si="10"/>
        <x:v>FEVEREIRO</x:v>
      </x:c>
      <x:c r="D657" s="24" t="s">
        <x:v>227</x:v>
      </x:c>
      <x:c r="E657" s="24" t="s">
        <x:v>313</x:v>
      </x:c>
      <x:c r="F657" s="24" t="s">
        <x:v>66</x:v>
      </x:c>
      <x:c r="G657" s="44">
        <x:v>-8211.3220000000001</x:v>
      </x:c>
      <x:c r="H657" s="24" t="s">
        <x:v>82</x:v>
      </x:c>
      <x:c r="I657" s="24" t="s">
        <x:v>311</x:v>
      </x:c>
      <x:c r="J657" s="24" t="s">
        <x:v>476</x:v>
      </x:c>
      <x:c r="K657" s="22" t="s">
        <x:v>11</x:v>
      </x:c>
    </x:row>
    <x:row r="658" hidden="1">
      <x:c r="A658" s="24" t="s">
        <x:v>309</x:v>
      </x:c>
      <x:c r="B658" s="25">
        <x:v>46054</x:v>
      </x:c>
      <x:c r="C658" s="45" t="str">
        <x:f t="shared" si="10"/>
        <x:v>FEVEREIRO</x:v>
      </x:c>
      <x:c r="D658" s="24" t="s">
        <x:v>227</x:v>
      </x:c>
      <x:c r="E658" s="24" t="s">
        <x:v>313</x:v>
      </x:c>
      <x:c r="F658" s="24" t="s">
        <x:v>65</x:v>
      </x:c>
      <x:c r="G658" s="44">
        <x:v>-8211.3220000000001</x:v>
      </x:c>
      <x:c r="H658" s="24" t="s">
        <x:v>82</x:v>
      </x:c>
      <x:c r="I658" s="24" t="s">
        <x:v>311</x:v>
      </x:c>
      <x:c r="J658" s="24" t="s">
        <x:v>476</x:v>
      </x:c>
      <x:c r="K658" s="22" t="s">
        <x:v>11</x:v>
      </x:c>
    </x:row>
    <x:row r="659" hidden="1">
      <x:c r="A659" s="24" t="s">
        <x:v>315</x:v>
      </x:c>
      <x:c r="B659" s="25">
        <x:v>46054</x:v>
      </x:c>
      <x:c r="C659" s="45" t="str">
        <x:f t="shared" si="10"/>
        <x:v>FEVEREIRO</x:v>
      </x:c>
      <x:c r="D659" s="24" t="s">
        <x:v>162</x:v>
      </x:c>
      <x:c r="E659" s="24" t="s">
        <x:v>317</x:v>
      </x:c>
      <x:c r="F659" s="24" t="s">
        <x:v>44</x:v>
      </x:c>
      <x:c r="G659" s="44">
        <x:v>-400</x:v>
      </x:c>
      <x:c r="H659" s="24" t="s">
        <x:v>82</x:v>
      </x:c>
      <x:c r="I659" s="24" t="s">
        <x:v>311</x:v>
      </x:c>
      <x:c r="J659" s="24" t="s">
        <x:v>476</x:v>
      </x:c>
      <x:c r="K659" s="22" t="s">
        <x:v>11</x:v>
      </x:c>
    </x:row>
    <x:row r="660" hidden="1">
      <x:c r="A660" s="24" t="s">
        <x:v>315</x:v>
      </x:c>
      <x:c r="B660" s="25">
        <x:v>46054</x:v>
      </x:c>
      <x:c r="C660" s="45" t="str">
        <x:f t="shared" si="10"/>
        <x:v>FEVEREIRO</x:v>
      </x:c>
      <x:c r="D660" s="24" t="s">
        <x:v>162</x:v>
      </x:c>
      <x:c r="E660" s="24" t="s">
        <x:v>24</x:v>
      </x:c>
      <x:c r="F660" s="24" t="s">
        <x:v>66</x:v>
      </x:c>
      <x:c r="G660" s="44">
        <x:v>-400</x:v>
      </x:c>
      <x:c r="H660" s="24" t="s">
        <x:v>82</x:v>
      </x:c>
      <x:c r="I660" s="24" t="s">
        <x:v>311</x:v>
      </x:c>
      <x:c r="J660" s="24" t="s">
        <x:v>476</x:v>
      </x:c>
      <x:c r="K660" s="22" t="s">
        <x:v>11</x:v>
      </x:c>
    </x:row>
    <x:row r="661" hidden="1">
      <x:c r="A661" s="24" t="s">
        <x:v>477</x:v>
      </x:c>
      <x:c r="B661" s="25">
        <x:v>46054</x:v>
      </x:c>
      <x:c r="C661" s="45" t="str">
        <x:f t="shared" si="10"/>
        <x:v>FEVEREIRO</x:v>
      </x:c>
      <x:c r="D661" s="24" t="s">
        <x:v>89</x:v>
      </x:c>
      <x:c r="E661" s="24" t="s">
        <x:v>359</x:v>
      </x:c>
      <x:c r="F661" s="24" t="s">
        <x:v>44</x:v>
      </x:c>
      <x:c r="G661" s="44">
        <x:v>11554</x:v>
      </x:c>
      <x:c r="H661" s="24" t="s">
        <x:v>91</x:v>
      </x:c>
      <x:c r="I661" s="24" t="s">
        <x:v>311</x:v>
      </x:c>
      <x:c r="J661" s="24" t="s">
        <x:v>476</x:v>
      </x:c>
      <x:c r="K661" s="22" t="s">
        <x:v>11</x:v>
      </x:c>
    </x:row>
    <x:row r="662" hidden="1">
      <x:c r="A662" s="24" t="s">
        <x:v>478</x:v>
      </x:c>
      <x:c r="B662" s="25">
        <x:v>46054</x:v>
      </x:c>
      <x:c r="C662" s="45" t="str">
        <x:f t="shared" si="10"/>
        <x:v>FEVEREIRO</x:v>
      </x:c>
      <x:c r="D662" s="24" t="s">
        <x:v>89</x:v>
      </x:c>
      <x:c r="E662" s="24" t="s">
        <x:v>427</x:v>
      </x:c>
      <x:c r="F662" s="24" t="s">
        <x:v>66</x:v>
      </x:c>
      <x:c r="G662" s="44">
        <x:v>9853.6</x:v>
      </x:c>
      <x:c r="H662" s="24" t="s">
        <x:v>91</x:v>
      </x:c>
      <x:c r="I662" s="24" t="s">
        <x:v>311</x:v>
      </x:c>
      <x:c r="J662" s="24" t="s">
        <x:v>476</x:v>
      </x:c>
      <x:c r="K662" s="22" t="s">
        <x:v>11</x:v>
      </x:c>
    </x:row>
    <x:row r="663" hidden="1">
      <x:c r="A663" s="24" t="s">
        <x:v>325</x:v>
      </x:c>
      <x:c r="B663" s="25">
        <x:v>46054</x:v>
      </x:c>
      <x:c r="C663" s="45" t="str">
        <x:f t="shared" si="10"/>
        <x:v>FEVEREIRO</x:v>
      </x:c>
      <x:c r="D663" s="24" t="s">
        <x:v>227</x:v>
      </x:c>
      <x:c r="E663" s="24" t="s">
        <x:v>388</x:v>
      </x:c>
      <x:c r="F663" s="24" t="s">
        <x:v>65</x:v>
      </x:c>
      <x:c r="G663" s="44">
        <x:v>-166.67</x:v>
      </x:c>
      <x:c r="H663" s="24" t="s">
        <x:v>82</x:v>
      </x:c>
      <x:c r="I663" s="24" t="s">
        <x:v>311</x:v>
      </x:c>
      <x:c r="J663" s="24" t="s">
        <x:v>479</x:v>
      </x:c>
      <x:c r="K663" s="22" t="s">
        <x:v>11</x:v>
      </x:c>
    </x:row>
    <x:row r="664" hidden="1">
      <x:c r="A664" s="24" t="s">
        <x:v>357</x:v>
      </x:c>
      <x:c r="B664" s="25">
        <x:v>46054</x:v>
      </x:c>
      <x:c r="C664" s="45" t="str">
        <x:f t="shared" si="10"/>
        <x:v>FEVEREIRO</x:v>
      </x:c>
      <x:c r="D664" s="24" t="s">
        <x:v>227</x:v>
      </x:c>
      <x:c r="E664" s="24" t="s">
        <x:v>388</x:v>
      </x:c>
      <x:c r="F664" s="24" t="s">
        <x:v>65</x:v>
      </x:c>
      <x:c r="G664" s="44">
        <x:v>-333.33</x:v>
      </x:c>
      <x:c r="H664" s="24" t="s">
        <x:v>82</x:v>
      </x:c>
      <x:c r="I664" s="24" t="s">
        <x:v>311</x:v>
      </x:c>
      <x:c r="J664" s="24" t="s">
        <x:v>479</x:v>
      </x:c>
      <x:c r="K664" s="22" t="s">
        <x:v>11</x:v>
      </x:c>
    </x:row>
    <x:row r="665" hidden="1">
      <x:c r="A665" s="24" t="s">
        <x:v>315</x:v>
      </x:c>
      <x:c r="B665" s="25">
        <x:v>46054</x:v>
      </x:c>
      <x:c r="C665" s="45" t="str">
        <x:f t="shared" si="10"/>
        <x:v>FEVEREIRO</x:v>
      </x:c>
      <x:c r="D665" s="24" t="s">
        <x:v>162</x:v>
      </x:c>
      <x:c r="E665" s="24" t="s">
        <x:v>23</x:v>
      </x:c>
      <x:c r="F665" s="24" t="s">
        <x:v>65</x:v>
      </x:c>
      <x:c r="G665" s="44">
        <x:v>-400</x:v>
      </x:c>
      <x:c r="H665" s="24" t="s">
        <x:v>82</x:v>
      </x:c>
      <x:c r="I665" s="24" t="s">
        <x:v>311</x:v>
      </x:c>
      <x:c r="J665" s="24" t="s">
        <x:v>479</x:v>
      </x:c>
      <x:c r="K665" s="22" t="s">
        <x:v>11</x:v>
      </x:c>
    </x:row>
    <x:row r="666" hidden="1">
      <x:c r="A666" s="24" t="s">
        <x:v>480</x:v>
      </x:c>
      <x:c r="B666" s="25">
        <x:v>46054</x:v>
      </x:c>
      <x:c r="C666" s="45" t="str">
        <x:f t="shared" si="10"/>
        <x:v>FEVEREIRO</x:v>
      </x:c>
      <x:c r="D666" s="24" t="s">
        <x:v>89</x:v>
      </x:c>
      <x:c r="E666" s="24" t="s">
        <x:v>374</x:v>
      </x:c>
      <x:c r="F666" s="24" t="s">
        <x:v>65</x:v>
      </x:c>
      <x:c r="G666" s="44">
        <x:v>9810</x:v>
      </x:c>
      <x:c r="H666" s="24" t="s">
        <x:v>91</x:v>
      </x:c>
      <x:c r="I666" s="24" t="s">
        <x:v>311</x:v>
      </x:c>
      <x:c r="J666" s="24" t="s">
        <x:v>479</x:v>
      </x:c>
      <x:c r="K666" s="22" t="s">
        <x:v>11</x:v>
      </x:c>
    </x:row>
    <x:row r="667" hidden="1">
      <x:c r="A667" s="24" t="s">
        <x:v>423</x:v>
      </x:c>
      <x:c r="B667" s="25">
        <x:v>46054</x:v>
      </x:c>
      <x:c r="C667" s="45" t="str">
        <x:f t="shared" si="10"/>
        <x:v>FEVEREIRO</x:v>
      </x:c>
      <x:c r="D667" s="24" t="s">
        <x:v>201</x:v>
      </x:c>
      <x:c r="E667" s="24" t="s">
        <x:v>202</x:v>
      </x:c>
      <x:c r="F667" s="24" t="s">
        <x:v>314</x:v>
      </x:c>
      <x:c r="G667" s="44">
        <x:v>-88.052000000000007</x:v>
      </x:c>
      <x:c r="H667" s="24" t="s">
        <x:v>82</x:v>
      </x:c>
      <x:c r="I667" s="24" t="s">
        <x:v>311</x:v>
      </x:c>
      <x:c r="J667" s="24" t="s">
        <x:v>479</x:v>
      </x:c>
      <x:c r="K667" s="22" t="s">
        <x:v>11</x:v>
      </x:c>
    </x:row>
    <x:row r="668" hidden="1">
      <x:c r="A668" s="24" t="s">
        <x:v>423</x:v>
      </x:c>
      <x:c r="B668" s="25">
        <x:v>46054</x:v>
      </x:c>
      <x:c r="C668" s="45" t="str">
        <x:f t="shared" si="10"/>
        <x:v>FEVEREIRO</x:v>
      </x:c>
      <x:c r="D668" s="24" t="s">
        <x:v>201</x:v>
      </x:c>
      <x:c r="E668" s="24" t="s">
        <x:v>202</x:v>
      </x:c>
      <x:c r="F668" s="24" t="s">
        <x:v>59</x:v>
      </x:c>
      <x:c r="G668" s="44">
        <x:v>-88.052000000000007</x:v>
      </x:c>
      <x:c r="H668" s="24" t="s">
        <x:v>82</x:v>
      </x:c>
      <x:c r="I668" s="24" t="s">
        <x:v>311</x:v>
      </x:c>
      <x:c r="J668" s="24" t="s">
        <x:v>479</x:v>
      </x:c>
      <x:c r="K668" s="22" t="s">
        <x:v>11</x:v>
      </x:c>
    </x:row>
    <x:row r="669" hidden="1">
      <x:c r="A669" s="24" t="s">
        <x:v>423</x:v>
      </x:c>
      <x:c r="B669" s="25">
        <x:v>46054</x:v>
      </x:c>
      <x:c r="C669" s="45" t="str">
        <x:f t="shared" si="10"/>
        <x:v>FEVEREIRO</x:v>
      </x:c>
      <x:c r="D669" s="24" t="s">
        <x:v>201</x:v>
      </x:c>
      <x:c r="E669" s="24" t="s">
        <x:v>202</x:v>
      </x:c>
      <x:c r="F669" s="24" t="s">
        <x:v>481</x:v>
      </x:c>
      <x:c r="G669" s="44">
        <x:v>-88.052000000000007</x:v>
      </x:c>
      <x:c r="H669" s="24" t="s">
        <x:v>82</x:v>
      </x:c>
      <x:c r="I669" s="24" t="s">
        <x:v>311</x:v>
      </x:c>
      <x:c r="J669" s="24" t="s">
        <x:v>479</x:v>
      </x:c>
      <x:c r="K669" s="22" t="s">
        <x:v>11</x:v>
      </x:c>
    </x:row>
    <x:row r="670" hidden="1">
      <x:c r="A670" s="24" t="s">
        <x:v>423</x:v>
      </x:c>
      <x:c r="B670" s="25">
        <x:v>46054</x:v>
      </x:c>
      <x:c r="C670" s="45" t="str">
        <x:f t="shared" si="10"/>
        <x:v>FEVEREIRO</x:v>
      </x:c>
      <x:c r="D670" s="24" t="s">
        <x:v>201</x:v>
      </x:c>
      <x:c r="E670" s="24" t="s">
        <x:v>202</x:v>
      </x:c>
      <x:c r="F670" s="24" t="s">
        <x:v>66</x:v>
      </x:c>
      <x:c r="G670" s="44">
        <x:v>-88.052000000000007</x:v>
      </x:c>
      <x:c r="H670" s="24" t="s">
        <x:v>82</x:v>
      </x:c>
      <x:c r="I670" s="24" t="s">
        <x:v>311</x:v>
      </x:c>
      <x:c r="J670" s="24" t="s">
        <x:v>479</x:v>
      </x:c>
      <x:c r="K670" s="22" t="s">
        <x:v>11</x:v>
      </x:c>
    </x:row>
    <x:row r="671" hidden="1">
      <x:c r="A671" s="24" t="s">
        <x:v>423</x:v>
      </x:c>
      <x:c r="B671" s="25">
        <x:v>46054</x:v>
      </x:c>
      <x:c r="C671" s="45" t="str">
        <x:f t="shared" si="10"/>
        <x:v>FEVEREIRO</x:v>
      </x:c>
      <x:c r="D671" s="24" t="s">
        <x:v>201</x:v>
      </x:c>
      <x:c r="E671" s="24" t="s">
        <x:v>202</x:v>
      </x:c>
      <x:c r="F671" s="24" t="s">
        <x:v>65</x:v>
      </x:c>
      <x:c r="G671" s="44">
        <x:v>-88.052000000000007</x:v>
      </x:c>
      <x:c r="H671" s="24" t="s">
        <x:v>82</x:v>
      </x:c>
      <x:c r="I671" s="24" t="s">
        <x:v>311</x:v>
      </x:c>
      <x:c r="J671" s="24" t="s">
        <x:v>479</x:v>
      </x:c>
      <x:c r="K671" s="22" t="s">
        <x:v>11</x:v>
      </x:c>
    </x:row>
    <x:row r="672" hidden="1">
      <x:c r="A672" s="24" t="s">
        <x:v>423</x:v>
      </x:c>
      <x:c r="B672" s="25">
        <x:v>46054</x:v>
      </x:c>
      <x:c r="C672" s="45" t="str">
        <x:f t="shared" si="10"/>
        <x:v>FEVEREIRO</x:v>
      </x:c>
      <x:c r="D672" s="24" t="s">
        <x:v>201</x:v>
      </x:c>
      <x:c r="E672" s="24" t="s">
        <x:v>202</x:v>
      </x:c>
      <x:c r="F672" s="24" t="s">
        <x:v>314</x:v>
      </x:c>
      <x:c r="G672" s="44">
        <x:v>-93.55</x:v>
      </x:c>
      <x:c r="H672" s="24" t="s">
        <x:v>82</x:v>
      </x:c>
      <x:c r="I672" s="24" t="s">
        <x:v>311</x:v>
      </x:c>
      <x:c r="J672" s="24" t="s">
        <x:v>479</x:v>
      </x:c>
      <x:c r="K672" s="22" t="s">
        <x:v>11</x:v>
      </x:c>
    </x:row>
    <x:row r="673" hidden="1">
      <x:c r="A673" s="24" t="s">
        <x:v>423</x:v>
      </x:c>
      <x:c r="B673" s="25">
        <x:v>46054</x:v>
      </x:c>
      <x:c r="C673" s="45" t="str">
        <x:f t="shared" si="10"/>
        <x:v>FEVEREIRO</x:v>
      </x:c>
      <x:c r="D673" s="24" t="s">
        <x:v>201</x:v>
      </x:c>
      <x:c r="E673" s="24" t="s">
        <x:v>202</x:v>
      </x:c>
      <x:c r="F673" s="24" t="s">
        <x:v>59</x:v>
      </x:c>
      <x:c r="G673" s="44">
        <x:v>-93.55</x:v>
      </x:c>
      <x:c r="H673" s="24" t="s">
        <x:v>82</x:v>
      </x:c>
      <x:c r="I673" s="24" t="s">
        <x:v>311</x:v>
      </x:c>
      <x:c r="J673" s="24" t="s">
        <x:v>479</x:v>
      </x:c>
      <x:c r="K673" s="22" t="s">
        <x:v>11</x:v>
      </x:c>
    </x:row>
    <x:row r="674" hidden="1">
      <x:c r="A674" s="24" t="s">
        <x:v>423</x:v>
      </x:c>
      <x:c r="B674" s="25">
        <x:v>46054</x:v>
      </x:c>
      <x:c r="C674" s="45" t="str">
        <x:f t="shared" si="10"/>
        <x:v>FEVEREIRO</x:v>
      </x:c>
      <x:c r="D674" s="24" t="s">
        <x:v>201</x:v>
      </x:c>
      <x:c r="E674" s="24" t="s">
        <x:v>202</x:v>
      </x:c>
      <x:c r="F674" s="24" t="s">
        <x:v>481</x:v>
      </x:c>
      <x:c r="G674" s="44">
        <x:v>-93.55</x:v>
      </x:c>
      <x:c r="H674" s="24" t="s">
        <x:v>82</x:v>
      </x:c>
      <x:c r="I674" s="24" t="s">
        <x:v>311</x:v>
      </x:c>
      <x:c r="J674" s="24" t="s">
        <x:v>479</x:v>
      </x:c>
      <x:c r="K674" s="22" t="s">
        <x:v>11</x:v>
      </x:c>
    </x:row>
    <x:row r="675" hidden="1">
      <x:c r="A675" s="24" t="s">
        <x:v>423</x:v>
      </x:c>
      <x:c r="B675" s="25">
        <x:v>46054</x:v>
      </x:c>
      <x:c r="C675" s="45" t="str">
        <x:f t="shared" si="10"/>
        <x:v>FEVEREIRO</x:v>
      </x:c>
      <x:c r="D675" s="24" t="s">
        <x:v>201</x:v>
      </x:c>
      <x:c r="E675" s="24" t="s">
        <x:v>202</x:v>
      </x:c>
      <x:c r="F675" s="24" t="s">
        <x:v>66</x:v>
      </x:c>
      <x:c r="G675" s="44">
        <x:v>-93.55</x:v>
      </x:c>
      <x:c r="H675" s="24" t="s">
        <x:v>82</x:v>
      </x:c>
      <x:c r="I675" s="24" t="s">
        <x:v>311</x:v>
      </x:c>
      <x:c r="J675" s="24" t="s">
        <x:v>479</x:v>
      </x:c>
      <x:c r="K675" s="22" t="s">
        <x:v>11</x:v>
      </x:c>
    </x:row>
    <x:row r="676" hidden="1">
      <x:c r="A676" s="24" t="s">
        <x:v>423</x:v>
      </x:c>
      <x:c r="B676" s="25">
        <x:v>46054</x:v>
      </x:c>
      <x:c r="C676" s="45" t="str">
        <x:f t="shared" si="10"/>
        <x:v>FEVEREIRO</x:v>
      </x:c>
      <x:c r="D676" s="24" t="s">
        <x:v>201</x:v>
      </x:c>
      <x:c r="E676" s="24" t="s">
        <x:v>202</x:v>
      </x:c>
      <x:c r="F676" s="24" t="s">
        <x:v>65</x:v>
      </x:c>
      <x:c r="G676" s="44">
        <x:v>-93.55</x:v>
      </x:c>
      <x:c r="H676" s="24" t="s">
        <x:v>82</x:v>
      </x:c>
      <x:c r="I676" s="24" t="s">
        <x:v>311</x:v>
      </x:c>
      <x:c r="J676" s="24" t="s">
        <x:v>479</x:v>
      </x:c>
      <x:c r="K676" s="22" t="s">
        <x:v>11</x:v>
      </x:c>
    </x:row>
    <x:row r="677" hidden="1">
      <x:c r="A677" s="24" t="s">
        <x:v>325</x:v>
      </x:c>
      <x:c r="B677" s="25">
        <x:v>46054</x:v>
      </x:c>
      <x:c r="C677" s="45" t="str">
        <x:f t="shared" si="10"/>
        <x:v>FEVEREIRO</x:v>
      </x:c>
      <x:c r="D677" s="24" t="s">
        <x:v>227</x:v>
      </x:c>
      <x:c r="E677" s="24" t="s">
        <x:v>392</x:v>
      </x:c>
      <x:c r="F677" s="24" t="s">
        <x:v>44</x:v>
      </x:c>
      <x:c r="G677" s="44">
        <x:v>-50</x:v>
      </x:c>
      <x:c r="H677" s="24" t="s">
        <x:v>82</x:v>
      </x:c>
      <x:c r="I677" s="24" t="s">
        <x:v>311</x:v>
      </x:c>
      <x:c r="J677" s="24" t="s">
        <x:v>482</x:v>
      </x:c>
      <x:c r="K677" s="22" t="s">
        <x:v>11</x:v>
      </x:c>
    </x:row>
    <x:row r="678" hidden="1">
      <x:c r="A678" s="24" t="s">
        <x:v>483</x:v>
      </x:c>
      <x:c r="B678" s="25">
        <x:v>46054</x:v>
      </x:c>
      <x:c r="C678" s="45" t="str">
        <x:f t="shared" si="10"/>
        <x:v>FEVEREIRO</x:v>
      </x:c>
      <x:c r="D678" s="24" t="s">
        <x:v>89</x:v>
      </x:c>
      <x:c r="E678" s="24" t="s">
        <x:v>484</x:v>
      </x:c>
      <x:c r="F678" s="24" t="s">
        <x:v>59</x:v>
      </x:c>
      <x:c r="G678" s="44">
        <x:v>12142.6</x:v>
      </x:c>
      <x:c r="H678" s="24" t="s">
        <x:v>91</x:v>
      </x:c>
      <x:c r="I678" s="24" t="s">
        <x:v>311</x:v>
      </x:c>
      <x:c r="J678" s="24" t="s">
        <x:v>482</x:v>
      </x:c>
      <x:c r="K678" s="22" t="s">
        <x:v>11</x:v>
      </x:c>
    </x:row>
    <x:row r="679" hidden="1">
      <x:c r="A679" s="24" t="s">
        <x:v>315</x:v>
      </x:c>
      <x:c r="B679" s="25">
        <x:v>46054</x:v>
      </x:c>
      <x:c r="C679" s="45" t="str">
        <x:f t="shared" si="10"/>
        <x:v>FEVEREIRO</x:v>
      </x:c>
      <x:c r="D679" s="24" t="s">
        <x:v>162</x:v>
      </x:c>
      <x:c r="E679" s="24" t="s">
        <x:v>13</x:v>
      </x:c>
      <x:c r="F679" s="24" t="s">
        <x:v>59</x:v>
      </x:c>
      <x:c r="G679" s="44">
        <x:v>-400</x:v>
      </x:c>
      <x:c r="H679" s="24" t="s">
        <x:v>82</x:v>
      </x:c>
      <x:c r="I679" s="24" t="s">
        <x:v>311</x:v>
      </x:c>
      <x:c r="J679" s="24" t="s">
        <x:v>482</x:v>
      </x:c>
      <x:c r="K679" s="22" t="s">
        <x:v>11</x:v>
      </x:c>
    </x:row>
    <x:row r="680" hidden="1">
      <x:c r="A680" s="24" t="s">
        <x:v>485</x:v>
      </x:c>
      <x:c r="B680" s="25">
        <x:v>46054</x:v>
      </x:c>
      <x:c r="C680" s="45" t="str">
        <x:f t="shared" si="10"/>
        <x:v>FEVEREIRO</x:v>
      </x:c>
      <x:c r="D680" s="24" t="s">
        <x:v>89</x:v>
      </x:c>
      <x:c r="E680" s="24" t="s">
        <x:v>486</x:v>
      </x:c>
      <x:c r="F680" s="24" t="s">
        <x:v>314</x:v>
      </x:c>
      <x:c r="G680" s="44">
        <x:v>2807.5</x:v>
      </x:c>
      <x:c r="H680" s="24" t="s">
        <x:v>91</x:v>
      </x:c>
      <x:c r="I680" s="24" t="s">
        <x:v>311</x:v>
      </x:c>
      <x:c r="J680" s="24" t="s">
        <x:v>482</x:v>
      </x:c>
      <x:c r="K680" s="22" t="s">
        <x:v>11</x:v>
      </x:c>
    </x:row>
    <x:row r="681" hidden="1">
      <x:c r="A681" s="24" t="s">
        <x:v>487</x:v>
      </x:c>
      <x:c r="B681" s="25">
        <x:v>46054</x:v>
      </x:c>
      <x:c r="C681" s="45" t="str">
        <x:f t="shared" si="10"/>
        <x:v>FEVEREIRO</x:v>
      </x:c>
      <x:c r="D681" s="24" t="s">
        <x:v>227</x:v>
      </x:c>
      <x:c r="E681" s="24" t="s">
        <x:v>488</x:v>
      </x:c>
      <x:c r="F681" s="24" t="s">
        <x:v>389</x:v>
      </x:c>
      <x:c r="G681" s="44">
        <x:v>-676</x:v>
      </x:c>
      <x:c r="H681" s="24" t="s">
        <x:v>82</x:v>
      </x:c>
      <x:c r="I681" s="24" t="s">
        <x:v>311</x:v>
      </x:c>
      <x:c r="J681" s="24" t="s">
        <x:v>489</x:v>
      </x:c>
      <x:c r="K681" s="22" t="s">
        <x:v>11</x:v>
      </x:c>
    </x:row>
    <x:row r="682" hidden="1">
      <x:c r="A682" s="24" t="s">
        <x:v>357</x:v>
      </x:c>
      <x:c r="B682" s="25">
        <x:v>46054</x:v>
      </x:c>
      <x:c r="C682" s="45" t="str">
        <x:f t="shared" si="10"/>
        <x:v>FEVEREIRO</x:v>
      </x:c>
      <x:c r="D682" s="24" t="s">
        <x:v>227</x:v>
      </x:c>
      <x:c r="E682" s="24" t="s">
        <x:v>440</x:v>
      </x:c>
      <x:c r="F682" s="24" t="s">
        <x:v>44</x:v>
      </x:c>
      <x:c r="G682" s="44">
        <x:v>-112</x:v>
      </x:c>
      <x:c r="H682" s="24" t="s">
        <x:v>82</x:v>
      </x:c>
      <x:c r="I682" s="24" t="s">
        <x:v>311</x:v>
      </x:c>
      <x:c r="J682" s="24" t="s">
        <x:v>489</x:v>
      </x:c>
      <x:c r="K682" s="22" t="s">
        <x:v>11</x:v>
      </x:c>
    </x:row>
    <x:row r="683" hidden="1">
      <x:c r="A683" s="24" t="s">
        <x:v>309</x:v>
      </x:c>
      <x:c r="B683" s="25">
        <x:v>46054</x:v>
      </x:c>
      <x:c r="C683" s="45" t="str">
        <x:f t="shared" si="10"/>
        <x:v>FEVEREIRO</x:v>
      </x:c>
      <x:c r="D683" s="24" t="s">
        <x:v>227</x:v>
      </x:c>
      <x:c r="E683" s="24" t="s">
        <x:v>490</x:v>
      </x:c>
      <x:c r="F683" s="24" t="s">
        <x:v>314</x:v>
      </x:c>
      <x:c r="G683" s="44">
        <x:v>-3579.8180000000002</x:v>
      </x:c>
      <x:c r="H683" s="24" t="s">
        <x:v>82</x:v>
      </x:c>
      <x:c r="I683" s="24" t="s">
        <x:v>311</x:v>
      </x:c>
      <x:c r="J683" s="24" t="s">
        <x:v>489</x:v>
      </x:c>
      <x:c r="K683" s="22" t="s">
        <x:v>11</x:v>
      </x:c>
    </x:row>
    <x:row r="684" hidden="1">
      <x:c r="A684" s="24" t="s">
        <x:v>309</x:v>
      </x:c>
      <x:c r="B684" s="25">
        <x:v>46054</x:v>
      </x:c>
      <x:c r="C684" s="45" t="str">
        <x:f t="shared" si="10"/>
        <x:v>FEVEREIRO</x:v>
      </x:c>
      <x:c r="D684" s="24" t="s">
        <x:v>227</x:v>
      </x:c>
      <x:c r="E684" s="24" t="s">
        <x:v>490</x:v>
      </x:c>
      <x:c r="F684" s="24" t="s">
        <x:v>44</x:v>
      </x:c>
      <x:c r="G684" s="44">
        <x:v>-3579.8180000000002</x:v>
      </x:c>
      <x:c r="H684" s="24" t="s">
        <x:v>82</x:v>
      </x:c>
      <x:c r="I684" s="24" t="s">
        <x:v>311</x:v>
      </x:c>
      <x:c r="J684" s="24" t="s">
        <x:v>489</x:v>
      </x:c>
      <x:c r="K684" s="22" t="s">
        <x:v>11</x:v>
      </x:c>
    </x:row>
    <x:row r="685" hidden="1">
      <x:c r="A685" s="24" t="s">
        <x:v>309</x:v>
      </x:c>
      <x:c r="B685" s="25">
        <x:v>46054</x:v>
      </x:c>
      <x:c r="C685" s="45" t="str">
        <x:f t="shared" si="10"/>
        <x:v>FEVEREIRO</x:v>
      </x:c>
      <x:c r="D685" s="24" t="s">
        <x:v>227</x:v>
      </x:c>
      <x:c r="E685" s="24" t="s">
        <x:v>490</x:v>
      </x:c>
      <x:c r="F685" s="24" t="s">
        <x:v>59</x:v>
      </x:c>
      <x:c r="G685" s="44">
        <x:v>-3579.8180000000002</x:v>
      </x:c>
      <x:c r="H685" s="24" t="s">
        <x:v>82</x:v>
      </x:c>
      <x:c r="I685" s="24" t="s">
        <x:v>311</x:v>
      </x:c>
      <x:c r="J685" s="24" t="s">
        <x:v>489</x:v>
      </x:c>
      <x:c r="K685" s="22" t="s">
        <x:v>11</x:v>
      </x:c>
    </x:row>
    <x:row r="686" hidden="1">
      <x:c r="A686" s="24" t="s">
        <x:v>309</x:v>
      </x:c>
      <x:c r="B686" s="25">
        <x:v>46054</x:v>
      </x:c>
      <x:c r="C686" s="45" t="str">
        <x:f t="shared" si="10"/>
        <x:v>FEVEREIRO</x:v>
      </x:c>
      <x:c r="D686" s="24" t="s">
        <x:v>227</x:v>
      </x:c>
      <x:c r="E686" s="24" t="s">
        <x:v>490</x:v>
      </x:c>
      <x:c r="F686" s="24" t="s">
        <x:v>66</x:v>
      </x:c>
      <x:c r="G686" s="44">
        <x:v>-3579.8180000000002</x:v>
      </x:c>
      <x:c r="H686" s="24" t="s">
        <x:v>82</x:v>
      </x:c>
      <x:c r="I686" s="24" t="s">
        <x:v>311</x:v>
      </x:c>
      <x:c r="J686" s="24" t="s">
        <x:v>489</x:v>
      </x:c>
      <x:c r="K686" s="22" t="s">
        <x:v>11</x:v>
      </x:c>
    </x:row>
    <x:row r="687" hidden="1">
      <x:c r="A687" s="24" t="s">
        <x:v>309</x:v>
      </x:c>
      <x:c r="B687" s="25">
        <x:v>46054</x:v>
      </x:c>
      <x:c r="C687" s="45" t="str">
        <x:f t="shared" si="10"/>
        <x:v>FEVEREIRO</x:v>
      </x:c>
      <x:c r="D687" s="24" t="s">
        <x:v>227</x:v>
      </x:c>
      <x:c r="E687" s="24" t="s">
        <x:v>490</x:v>
      </x:c>
      <x:c r="F687" s="24" t="s">
        <x:v>65</x:v>
      </x:c>
      <x:c r="G687" s="44">
        <x:v>-3579.8180000000002</x:v>
      </x:c>
      <x:c r="H687" s="24" t="s">
        <x:v>82</x:v>
      </x:c>
      <x:c r="I687" s="24" t="s">
        <x:v>311</x:v>
      </x:c>
      <x:c r="J687" s="24" t="s">
        <x:v>489</x:v>
      </x:c>
      <x:c r="K687" s="22" t="s">
        <x:v>11</x:v>
      </x:c>
    </x:row>
    <x:row r="688" hidden="1">
      <x:c r="A688" s="24" t="s">
        <x:v>315</x:v>
      </x:c>
      <x:c r="B688" s="25">
        <x:v>46054</x:v>
      </x:c>
      <x:c r="C688" s="45" t="str">
        <x:f t="shared" si="10"/>
        <x:v>FEVEREIRO</x:v>
      </x:c>
      <x:c r="D688" s="24" t="s">
        <x:v>162</x:v>
      </x:c>
      <x:c r="E688" s="24" t="s">
        <x:v>317</x:v>
      </x:c>
      <x:c r="F688" s="24" t="s">
        <x:v>44</x:v>
      </x:c>
      <x:c r="G688" s="44">
        <x:v>-400</x:v>
      </x:c>
      <x:c r="H688" s="24" t="s">
        <x:v>82</x:v>
      </x:c>
      <x:c r="I688" s="24" t="s">
        <x:v>311</x:v>
      </x:c>
      <x:c r="J688" s="24" t="s">
        <x:v>489</x:v>
      </x:c>
      <x:c r="K688" s="22" t="s">
        <x:v>11</x:v>
      </x:c>
    </x:row>
    <x:row r="689" hidden="1">
      <x:c r="A689" s="24" t="s">
        <x:v>491</x:v>
      </x:c>
      <x:c r="B689" s="25">
        <x:v>46054</x:v>
      </x:c>
      <x:c r="C689" s="45" t="str">
        <x:f t="shared" si="10"/>
        <x:v>FEVEREIRO</x:v>
      </x:c>
      <x:c r="D689" s="24" t="s">
        <x:v>89</x:v>
      </x:c>
      <x:c r="E689" s="24" t="s">
        <x:v>465</x:v>
      </x:c>
      <x:c r="F689" s="24" t="s">
        <x:v>44</x:v>
      </x:c>
      <x:c r="G689" s="44">
        <x:v>11826.5</x:v>
      </x:c>
      <x:c r="H689" s="24" t="s">
        <x:v>91</x:v>
      </x:c>
      <x:c r="I689" s="24" t="s">
        <x:v>311</x:v>
      </x:c>
      <x:c r="J689" s="24" t="s">
        <x:v>489</x:v>
      </x:c>
      <x:c r="K689" s="22" t="s">
        <x:v>11</x:v>
      </x:c>
    </x:row>
    <x:row r="690" hidden="1">
      <x:c r="A690" s="24" t="s">
        <x:v>366</x:v>
      </x:c>
      <x:c r="B690" s="25">
        <x:v>46054</x:v>
      </x:c>
      <x:c r="C690" s="45" t="str">
        <x:f t="shared" si="10"/>
        <x:v>FEVEREIRO</x:v>
      </x:c>
      <x:c r="D690" s="24" t="s">
        <x:v>227</x:v>
      </x:c>
      <x:c r="E690" s="24" t="s">
        <x:v>388</x:v>
      </x:c>
      <x:c r="F690" s="24" t="s">
        <x:v>59</x:v>
      </x:c>
      <x:c r="G690" s="44">
        <x:v>-6490.96</x:v>
      </x:c>
      <x:c r="H690" s="24" t="s">
        <x:v>82</x:v>
      </x:c>
      <x:c r="I690" s="24" t="s">
        <x:v>311</x:v>
      </x:c>
      <x:c r="J690" s="24" t="s">
        <x:v>492</x:v>
      </x:c>
      <x:c r="K690" s="22" t="s">
        <x:v>11</x:v>
      </x:c>
    </x:row>
    <x:row r="691" hidden="1">
      <x:c r="A691" s="24" t="s">
        <x:v>357</x:v>
      </x:c>
      <x:c r="B691" s="25">
        <x:v>46054</x:v>
      </x:c>
      <x:c r="C691" s="45" t="str">
        <x:f t="shared" si="10"/>
        <x:v>FEVEREIRO</x:v>
      </x:c>
      <x:c r="D691" s="24" t="s">
        <x:v>227</x:v>
      </x:c>
      <x:c r="E691" s="24" t="s">
        <x:v>410</x:v>
      </x:c>
      <x:c r="F691" s="24" t="s">
        <x:v>314</x:v>
      </x:c>
      <x:c r="G691" s="44">
        <x:v>-1013</x:v>
      </x:c>
      <x:c r="H691" s="24" t="s">
        <x:v>82</x:v>
      </x:c>
      <x:c r="I691" s="24" t="s">
        <x:v>311</x:v>
      </x:c>
      <x:c r="J691" s="24" t="s">
        <x:v>492</x:v>
      </x:c>
      <x:c r="K691" s="22" t="s">
        <x:v>11</x:v>
      </x:c>
    </x:row>
    <x:row r="692" hidden="1">
      <x:c r="A692" s="24" t="s">
        <x:v>115</x:v>
      </x:c>
      <x:c r="B692" s="25">
        <x:v>46054</x:v>
      </x:c>
      <x:c r="C692" s="45" t="str">
        <x:f t="shared" si="10"/>
        <x:v>FEVEREIRO</x:v>
      </x:c>
      <x:c r="D692" s="24" t="s">
        <x:v>116</x:v>
      </x:c>
      <x:c r="E692" s="24" t="s">
        <x:v>347</x:v>
      </x:c>
      <x:c r="F692" s="24" t="s">
        <x:v>314</x:v>
      </x:c>
      <x:c r="G692" s="44">
        <x:v>-2753.11</x:v>
      </x:c>
      <x:c r="H692" s="24" t="s">
        <x:v>82</x:v>
      </x:c>
      <x:c r="I692" s="24" t="s">
        <x:v>311</x:v>
      </x:c>
      <x:c r="J692" s="24" t="s">
        <x:v>492</x:v>
      </x:c>
      <x:c r="K692" s="22" t="s">
        <x:v>11</x:v>
      </x:c>
    </x:row>
    <x:row r="693" hidden="1">
      <x:c r="A693" s="24" t="s">
        <x:v>325</x:v>
      </x:c>
      <x:c r="B693" s="25">
        <x:v>46054</x:v>
      </x:c>
      <x:c r="C693" s="45" t="str">
        <x:f t="shared" si="10"/>
        <x:v>FEVEREIRO</x:v>
      </x:c>
      <x:c r="D693" s="24" t="s">
        <x:v>227</x:v>
      </x:c>
      <x:c r="E693" s="24" t="s">
        <x:v>493</x:v>
      </x:c>
      <x:c r="F693" s="24" t="s">
        <x:v>494</x:v>
      </x:c>
      <x:c r="G693" s="44">
        <x:v>-1250</x:v>
      </x:c>
      <x:c r="H693" s="24" t="s">
        <x:v>82</x:v>
      </x:c>
      <x:c r="I693" s="24" t="s">
        <x:v>311</x:v>
      </x:c>
      <x:c r="J693" s="24" t="s">
        <x:v>492</x:v>
      </x:c>
      <x:c r="K693" s="22" t="s">
        <x:v>11</x:v>
      </x:c>
    </x:row>
    <x:row r="694" hidden="1">
      <x:c r="A694" s="24" t="s">
        <x:v>315</x:v>
      </x:c>
      <x:c r="B694" s="25">
        <x:v>46054</x:v>
      </x:c>
      <x:c r="C694" s="45" t="str">
        <x:f t="shared" si="10"/>
        <x:v>FEVEREIRO</x:v>
      </x:c>
      <x:c r="D694" s="24" t="s">
        <x:v>162</x:v>
      </x:c>
      <x:c r="E694" s="24" t="s">
        <x:v>23</x:v>
      </x:c>
      <x:c r="F694" s="24" t="s">
        <x:v>65</x:v>
      </x:c>
      <x:c r="G694" s="44">
        <x:v>-400</x:v>
      </x:c>
      <x:c r="H694" s="24" t="s">
        <x:v>82</x:v>
      </x:c>
      <x:c r="I694" s="24" t="s">
        <x:v>311</x:v>
      </x:c>
      <x:c r="J694" s="24" t="s">
        <x:v>492</x:v>
      </x:c>
      <x:c r="K694" s="22" t="s">
        <x:v>11</x:v>
      </x:c>
    </x:row>
    <x:row r="695" hidden="1">
      <x:c r="A695" s="24" t="s">
        <x:v>495</x:v>
      </x:c>
      <x:c r="B695" s="25">
        <x:v>46054</x:v>
      </x:c>
      <x:c r="C695" s="45" t="str">
        <x:f t="shared" si="10"/>
        <x:v>FEVEREIRO</x:v>
      </x:c>
      <x:c r="D695" s="24" t="s">
        <x:v>89</x:v>
      </x:c>
      <x:c r="E695" s="24" t="s">
        <x:v>344</x:v>
      </x:c>
      <x:c r="F695" s="24" t="s">
        <x:v>65</x:v>
      </x:c>
      <x:c r="G695" s="44">
        <x:v>9940.7999999999993</x:v>
      </x:c>
      <x:c r="H695" s="24" t="s">
        <x:v>91</x:v>
      </x:c>
      <x:c r="I695" s="24" t="s">
        <x:v>311</x:v>
      </x:c>
      <x:c r="J695" s="24" t="s">
        <x:v>492</x:v>
      </x:c>
      <x:c r="K695" s="22" t="s">
        <x:v>11</x:v>
      </x:c>
    </x:row>
    <x:row r="696" hidden="1">
      <x:c r="A696" s="24" t="s">
        <x:v>325</x:v>
      </x:c>
      <x:c r="B696" s="25">
        <x:v>46054</x:v>
      </x:c>
      <x:c r="C696" s="45" t="str">
        <x:f t="shared" si="10"/>
        <x:v>FEVEREIRO</x:v>
      </x:c>
      <x:c r="D696" s="24" t="s">
        <x:v>227</x:v>
      </x:c>
      <x:c r="E696" s="24" t="s">
        <x:v>24</x:v>
      </x:c>
      <x:c r="F696" s="24" t="s">
        <x:v>66</x:v>
      </x:c>
      <x:c r="G696" s="44">
        <x:v>-180</x:v>
      </x:c>
      <x:c r="H696" s="24" t="s">
        <x:v>82</x:v>
      </x:c>
      <x:c r="I696" s="24" t="s">
        <x:v>311</x:v>
      </x:c>
      <x:c r="J696" s="24" t="s">
        <x:v>492</x:v>
      </x:c>
      <x:c r="K696" s="22" t="s">
        <x:v>11</x:v>
      </x:c>
    </x:row>
    <x:row r="697" hidden="1">
      <x:c r="A697" s="24" t="s">
        <x:v>496</x:v>
      </x:c>
      <x:c r="B697" s="25">
        <x:v>46054</x:v>
      </x:c>
      <x:c r="C697" s="45" t="str">
        <x:f t="shared" si="10"/>
        <x:v>FEVEREIRO</x:v>
      </x:c>
      <x:c r="D697" s="24" t="s">
        <x:v>89</x:v>
      </x:c>
      <x:c r="E697" s="24" t="s">
        <x:v>346</x:v>
      </x:c>
      <x:c r="F697" s="24" t="s">
        <x:v>66</x:v>
      </x:c>
      <x:c r="G697" s="44">
        <x:v>10856</x:v>
      </x:c>
      <x:c r="H697" s="24" t="s">
        <x:v>91</x:v>
      </x:c>
      <x:c r="I697" s="24" t="s">
        <x:v>311</x:v>
      </x:c>
      <x:c r="J697" s="24" t="s">
        <x:v>492</x:v>
      </x:c>
      <x:c r="K697" s="22" t="s">
        <x:v>11</x:v>
      </x:c>
    </x:row>
    <x:row r="698" hidden="1">
      <x:c r="A698" s="24" t="s">
        <x:v>315</x:v>
      </x:c>
      <x:c r="B698" s="25">
        <x:v>46054</x:v>
      </x:c>
      <x:c r="C698" s="45" t="str">
        <x:f t="shared" si="10"/>
        <x:v>FEVEREIRO</x:v>
      </x:c>
      <x:c r="D698" s="24" t="s">
        <x:v>162</x:v>
      </x:c>
      <x:c r="E698" s="24" t="s">
        <x:v>24</x:v>
      </x:c>
      <x:c r="F698" s="24" t="s">
        <x:v>66</x:v>
      </x:c>
      <x:c r="G698" s="44">
        <x:v>-400</x:v>
      </x:c>
      <x:c r="H698" s="24" t="s">
        <x:v>82</x:v>
      </x:c>
      <x:c r="I698" s="24" t="s">
        <x:v>311</x:v>
      </x:c>
      <x:c r="J698" s="24" t="s">
        <x:v>492</x:v>
      </x:c>
      <x:c r="K698" s="22" t="s">
        <x:v>11</x:v>
      </x:c>
    </x:row>
    <x:row r="699" hidden="1">
      <x:c r="A699" s="24" t="s">
        <x:v>497</x:v>
      </x:c>
      <x:c r="B699" s="25">
        <x:v>46054</x:v>
      </x:c>
      <x:c r="C699" s="45" t="str">
        <x:f t="shared" si="10"/>
        <x:v>FEVEREIRO</x:v>
      </x:c>
      <x:c r="D699" s="24" t="s">
        <x:v>89</x:v>
      </x:c>
      <x:c r="E699" s="24" t="s">
        <x:v>427</x:v>
      </x:c>
      <x:c r="F699" s="24" t="s">
        <x:v>59</x:v>
      </x:c>
      <x:c r="G699" s="44">
        <x:v>12327.9</x:v>
      </x:c>
      <x:c r="H699" s="24" t="s">
        <x:v>91</x:v>
      </x:c>
      <x:c r="I699" s="24" t="s">
        <x:v>311</x:v>
      </x:c>
      <x:c r="J699" s="24" t="s">
        <x:v>498</x:v>
      </x:c>
      <x:c r="K699" s="22" t="s">
        <x:v>11</x:v>
      </x:c>
    </x:row>
    <x:row r="700" hidden="1">
      <x:c r="A700" s="24" t="s">
        <x:v>315</x:v>
      </x:c>
      <x:c r="B700" s="25">
        <x:v>46054</x:v>
      </x:c>
      <x:c r="C700" s="45" t="str">
        <x:f t="shared" si="10"/>
        <x:v>FEVEREIRO</x:v>
      </x:c>
      <x:c r="D700" s="24" t="s">
        <x:v>162</x:v>
      </x:c>
      <x:c r="E700" s="24" t="s">
        <x:v>13</x:v>
      </x:c>
      <x:c r="F700" s="24" t="s">
        <x:v>59</x:v>
      </x:c>
      <x:c r="G700" s="44">
        <x:v>-400</x:v>
      </x:c>
      <x:c r="H700" s="24" t="s">
        <x:v>82</x:v>
      </x:c>
      <x:c r="I700" s="24" t="s">
        <x:v>311</x:v>
      </x:c>
      <x:c r="J700" s="24" t="s">
        <x:v>498</x:v>
      </x:c>
      <x:c r="K700" s="22" t="s">
        <x:v>11</x:v>
      </x:c>
    </x:row>
    <x:row r="701" hidden="1">
      <x:c r="A701" s="24" t="s">
        <x:v>315</x:v>
      </x:c>
      <x:c r="B701" s="25">
        <x:v>46054</x:v>
      </x:c>
      <x:c r="C701" s="45" t="str">
        <x:f t="shared" si="10"/>
        <x:v>FEVEREIRO</x:v>
      </x:c>
      <x:c r="D701" s="24" t="s">
        <x:v>162</x:v>
      </x:c>
      <x:c r="E701" s="24" t="s">
        <x:v>10</x:v>
      </x:c>
      <x:c r="F701" s="24" t="s">
        <x:v>314</x:v>
      </x:c>
      <x:c r="G701" s="44">
        <x:v>-400</x:v>
      </x:c>
      <x:c r="H701" s="24" t="s">
        <x:v>82</x:v>
      </x:c>
      <x:c r="I701" s="24" t="s">
        <x:v>311</x:v>
      </x:c>
      <x:c r="J701" s="24" t="s">
        <x:v>482</x:v>
      </x:c>
      <x:c r="K701" s="22" t="s">
        <x:v>11</x:v>
      </x:c>
    </x:row>
    <x:row r="702" hidden="1">
      <x:c r="A702" s="24" t="s">
        <x:v>499</x:v>
      </x:c>
      <x:c r="B702" s="25">
        <x:v>46054</x:v>
      </x:c>
      <x:c r="C702" s="45" t="str">
        <x:f t="shared" si="10"/>
        <x:v>FEVEREIRO</x:v>
      </x:c>
      <x:c r="D702" s="24" t="s">
        <x:v>89</x:v>
      </x:c>
      <x:c r="E702" s="24" t="s">
        <x:v>467</x:v>
      </x:c>
      <x:c r="F702" s="24" t="s">
        <x:v>314</x:v>
      </x:c>
      <x:c r="G702" s="44">
        <x:v>13221.7</x:v>
      </x:c>
      <x:c r="H702" s="24" t="s">
        <x:v>91</x:v>
      </x:c>
      <x:c r="I702" s="24" t="s">
        <x:v>311</x:v>
      </x:c>
      <x:c r="J702" s="24" t="s">
        <x:v>498</x:v>
      </x:c>
      <x:c r="K702" s="22" t="s">
        <x:v>11</x:v>
      </x:c>
    </x:row>
    <x:row r="703" hidden="1">
      <x:c r="A703" s="24" t="s">
        <x:v>315</x:v>
      </x:c>
      <x:c r="B703" s="25">
        <x:v>46054</x:v>
      </x:c>
      <x:c r="C703" s="45" t="str">
        <x:f t="shared" si="10"/>
        <x:v>FEVEREIRO</x:v>
      </x:c>
      <x:c r="D703" s="24" t="s">
        <x:v>162</x:v>
      </x:c>
      <x:c r="E703" s="24" t="s">
        <x:v>10</x:v>
      </x:c>
      <x:c r="F703" s="24" t="s">
        <x:v>314</x:v>
      </x:c>
      <x:c r="G703" s="44">
        <x:v>-400</x:v>
      </x:c>
      <x:c r="H703" s="24" t="s">
        <x:v>82</x:v>
      </x:c>
      <x:c r="I703" s="24" t="s">
        <x:v>311</x:v>
      </x:c>
      <x:c r="J703" s="24" t="s">
        <x:v>498</x:v>
      </x:c>
      <x:c r="K703" s="22" t="s">
        <x:v>11</x:v>
      </x:c>
    </x:row>
    <x:row r="704" hidden="1">
      <x:c r="A704" s="24" t="s">
        <x:v>357</x:v>
      </x:c>
      <x:c r="B704" s="25">
        <x:v>46054</x:v>
      </x:c>
      <x:c r="C704" s="45" t="str">
        <x:f t="shared" si="10"/>
        <x:v>FEVEREIRO</x:v>
      </x:c>
      <x:c r="D704" s="24" t="s">
        <x:v>227</x:v>
      </x:c>
      <x:c r="E704" s="24" t="s">
        <x:v>355</x:v>
      </x:c>
      <x:c r="F704" s="24" t="s">
        <x:v>314</x:v>
      </x:c>
      <x:c r="G704" s="44">
        <x:v>-896.31</x:v>
      </x:c>
      <x:c r="H704" s="24" t="s">
        <x:v>82</x:v>
      </x:c>
      <x:c r="I704" s="24" t="s">
        <x:v>387</x:v>
      </x:c>
      <x:c r="J704" s="24" t="s">
        <x:v>500</x:v>
      </x:c>
      <x:c r="K704" s="22" t="s">
        <x:v>11</x:v>
      </x:c>
    </x:row>
    <x:row r="705" hidden="1">
      <x:c r="A705" s="24" t="s">
        <x:v>325</x:v>
      </x:c>
      <x:c r="B705" s="25">
        <x:v>46054</x:v>
      </x:c>
      <x:c r="C705" s="45" t="str">
        <x:f t="shared" si="10"/>
        <x:v>FEVEREIRO</x:v>
      </x:c>
      <x:c r="D705" s="24" t="s">
        <x:v>227</x:v>
      </x:c>
      <x:c r="E705" s="24" t="s">
        <x:v>388</x:v>
      </x:c>
      <x:c r="F705" s="24" t="s">
        <x:v>314</x:v>
      </x:c>
      <x:c r="G705" s="44">
        <x:v>-343.4</x:v>
      </x:c>
      <x:c r="H705" s="24" t="s">
        <x:v>82</x:v>
      </x:c>
      <x:c r="I705" s="24" t="s">
        <x:v>387</x:v>
      </x:c>
      <x:c r="J705" s="24" t="s">
        <x:v>500</x:v>
      </x:c>
      <x:c r="K705" s="22" t="s">
        <x:v>11</x:v>
      </x:c>
    </x:row>
    <x:row r="706" hidden="1">
      <x:c r="A706" s="24" t="s">
        <x:v>357</x:v>
      </x:c>
      <x:c r="B706" s="25">
        <x:v>46054</x:v>
      </x:c>
      <x:c r="C706" s="45" t="str">
        <x:f t="shared" ref="C706:C769" si="11">UPPER(TEXT(B706,"MMMM"))</x:f>
        <x:v>FEBRUARY</x:v>
      </x:c>
      <x:c r="D706" s="24" t="s">
        <x:v>227</x:v>
      </x:c>
      <x:c r="E706" s="24" t="s">
        <x:v>388</x:v>
      </x:c>
      <x:c r="F706" s="24" t="s">
        <x:v>314</x:v>
      </x:c>
      <x:c r="G706" s="44">
        <x:v>-135.37</x:v>
      </x:c>
      <x:c r="H706" s="24" t="s">
        <x:v>82</x:v>
      </x:c>
      <x:c r="I706" s="24" t="s">
        <x:v>387</x:v>
      </x:c>
      <x:c r="J706" s="24" t="s">
        <x:v>500</x:v>
      </x:c>
      <x:c r="K706" s="22" t="s">
        <x:v>11</x:v>
      </x:c>
    </x:row>
    <x:row r="707" hidden="1">
      <x:c r="A707" s="24" t="s">
        <x:v>315</x:v>
      </x:c>
      <x:c r="B707" s="25">
        <x:v>46054</x:v>
      </x:c>
      <x:c r="C707" s="45" t="str">
        <x:f t="shared" si="11"/>
        <x:v>FEVEREIRO</x:v>
      </x:c>
      <x:c r="D707" s="24" t="s">
        <x:v>162</x:v>
      </x:c>
      <x:c r="E707" s="24" t="s">
        <x:v>317</x:v>
      </x:c>
      <x:c r="F707" s="24" t="s">
        <x:v>44</x:v>
      </x:c>
      <x:c r="G707" s="44">
        <x:v>-400</x:v>
      </x:c>
      <x:c r="H707" s="24" t="s">
        <x:v>82</x:v>
      </x:c>
      <x:c r="I707" s="24" t="s">
        <x:v>311</x:v>
      </x:c>
      <x:c r="J707" s="24" t="s">
        <x:v>500</x:v>
      </x:c>
      <x:c r="K707" s="22" t="s">
        <x:v>11</x:v>
      </x:c>
    </x:row>
    <x:row r="708" hidden="1">
      <x:c r="A708" s="24" t="s">
        <x:v>501</x:v>
      </x:c>
      <x:c r="B708" s="25">
        <x:v>46054</x:v>
      </x:c>
      <x:c r="C708" s="45" t="str">
        <x:f t="shared" si="11"/>
        <x:v>FEVEREIRO</x:v>
      </x:c>
      <x:c r="D708" s="24" t="s">
        <x:v>89</x:v>
      </x:c>
      <x:c r="E708" s="24" t="s">
        <x:v>427</x:v>
      </x:c>
      <x:c r="F708" s="24" t="s">
        <x:v>44</x:v>
      </x:c>
      <x:c r="G708" s="44">
        <x:v>12033.6</x:v>
      </x:c>
      <x:c r="H708" s="24" t="s">
        <x:v>91</x:v>
      </x:c>
      <x:c r="I708" s="24" t="s">
        <x:v>311</x:v>
      </x:c>
      <x:c r="J708" s="24" t="s">
        <x:v>500</x:v>
      </x:c>
      <x:c r="K708" s="22" t="s">
        <x:v>11</x:v>
      </x:c>
    </x:row>
    <x:row r="709" hidden="1">
      <x:c r="A709" s="24" t="s">
        <x:v>502</x:v>
      </x:c>
      <x:c r="B709" s="25">
        <x:v>46054</x:v>
      </x:c>
      <x:c r="C709" s="45" t="str">
        <x:f t="shared" si="11"/>
        <x:v>FEVEREIRO</x:v>
      </x:c>
      <x:c r="D709" s="24" t="s">
        <x:v>89</x:v>
      </x:c>
      <x:c r="E709" s="24" t="s">
        <x:v>359</x:v>
      </x:c>
      <x:c r="F709" s="24" t="s">
        <x:v>66</x:v>
      </x:c>
      <x:c r="G709" s="44">
        <x:v>9864.5</x:v>
      </x:c>
      <x:c r="H709" s="24" t="s">
        <x:v>91</x:v>
      </x:c>
      <x:c r="I709" s="24" t="s">
        <x:v>311</x:v>
      </x:c>
      <x:c r="J709" s="24" t="s">
        <x:v>500</x:v>
      </x:c>
      <x:c r="K709" s="22" t="s">
        <x:v>11</x:v>
      </x:c>
    </x:row>
    <x:row r="710" hidden="1">
      <x:c r="A710" s="24" t="s">
        <x:v>315</x:v>
      </x:c>
      <x:c r="B710" s="25">
        <x:v>46054</x:v>
      </x:c>
      <x:c r="C710" s="45" t="str">
        <x:f t="shared" si="11"/>
        <x:v>FEVEREIRO</x:v>
      </x:c>
      <x:c r="D710" s="24" t="s">
        <x:v>162</x:v>
      </x:c>
      <x:c r="E710" s="24" t="s">
        <x:v>24</x:v>
      </x:c>
      <x:c r="F710" s="24" t="s">
        <x:v>66</x:v>
      </x:c>
      <x:c r="G710" s="44">
        <x:v>-400</x:v>
      </x:c>
      <x:c r="H710" s="24" t="s">
        <x:v>82</x:v>
      </x:c>
      <x:c r="I710" s="24" t="s">
        <x:v>311</x:v>
      </x:c>
      <x:c r="J710" s="24" t="s">
        <x:v>500</x:v>
      </x:c>
      <x:c r="K710" s="22" t="s">
        <x:v>11</x:v>
      </x:c>
    </x:row>
    <x:row r="711" hidden="1">
      <x:c r="A711" s="30" t="s">
        <x:v>112</x:v>
      </x:c>
      <x:c r="B711" s="25">
        <x:v>46054</x:v>
      </x:c>
      <x:c r="C711" s="45" t="str">
        <x:f t="shared" si="11"/>
        <x:v>FEVEREIRO</x:v>
      </x:c>
      <x:c r="D711" s="24" t="s">
        <x:v>112</x:v>
      </x:c>
      <x:c r="E711" s="24" t="s">
        <x:v>341</x:v>
      </x:c>
      <x:c r="F711" s="24" t="s">
        <x:v>59</x:v>
      </x:c>
      <x:c r="G711" s="44">
        <x:v>-21277.56</x:v>
      </x:c>
      <x:c r="H711" s="24" t="s">
        <x:v>82</x:v>
      </x:c>
      <x:c r="I711" s="24" t="s">
        <x:v>311</x:v>
      </x:c>
      <x:c r="J711" s="24" t="s">
        <x:v>503</x:v>
      </x:c>
      <x:c r="K711" s="22" t="s">
        <x:v>11</x:v>
      </x:c>
    </x:row>
    <x:row r="712" hidden="1">
      <x:c r="A712" s="30" t="s">
        <x:v>112</x:v>
      </x:c>
      <x:c r="B712" s="25">
        <x:v>46054</x:v>
      </x:c>
      <x:c r="C712" s="45" t="str">
        <x:f t="shared" si="11"/>
        <x:v>FEVEREIRO</x:v>
      </x:c>
      <x:c r="D712" s="24" t="s">
        <x:v>112</x:v>
      </x:c>
      <x:c r="E712" s="24" t="s">
        <x:v>341</x:v>
      </x:c>
      <x:c r="F712" s="24" t="s">
        <x:v>44</x:v>
      </x:c>
      <x:c r="G712" s="44">
        <x:v>-21277.56</x:v>
      </x:c>
      <x:c r="H712" s="24" t="s">
        <x:v>82</x:v>
      </x:c>
      <x:c r="I712" s="24" t="s">
        <x:v>311</x:v>
      </x:c>
      <x:c r="J712" s="24" t="s">
        <x:v>503</x:v>
      </x:c>
      <x:c r="K712" s="22" t="s">
        <x:v>11</x:v>
      </x:c>
    </x:row>
    <x:row r="713" hidden="1">
      <x:c r="A713" s="24" t="s">
        <x:v>309</x:v>
      </x:c>
      <x:c r="B713" s="25">
        <x:v>46054</x:v>
      </x:c>
      <x:c r="C713" s="45" t="str">
        <x:f t="shared" si="11"/>
        <x:v>FEVEREIRO</x:v>
      </x:c>
      <x:c r="D713" s="24" t="s">
        <x:v>227</x:v>
      </x:c>
      <x:c r="E713" s="24" t="s">
        <x:v>313</x:v>
      </x:c>
      <x:c r="F713" s="24" t="s">
        <x:v>314</x:v>
      </x:c>
      <x:c r="G713" s="44">
        <x:v>-6479.1980000000003</x:v>
      </x:c>
      <x:c r="H713" s="24" t="s">
        <x:v>82</x:v>
      </x:c>
      <x:c r="I713" s="24" t="s">
        <x:v>311</x:v>
      </x:c>
      <x:c r="J713" s="24" t="s">
        <x:v>503</x:v>
      </x:c>
      <x:c r="K713" s="22" t="s">
        <x:v>11</x:v>
      </x:c>
    </x:row>
    <x:row r="714" hidden="1">
      <x:c r="A714" s="24" t="s">
        <x:v>309</x:v>
      </x:c>
      <x:c r="B714" s="25">
        <x:v>46054</x:v>
      </x:c>
      <x:c r="C714" s="45" t="str">
        <x:f t="shared" si="11"/>
        <x:v>FEVEREIRO</x:v>
      </x:c>
      <x:c r="D714" s="24" t="s">
        <x:v>227</x:v>
      </x:c>
      <x:c r="E714" s="24" t="s">
        <x:v>313</x:v>
      </x:c>
      <x:c r="F714" s="24" t="s">
        <x:v>44</x:v>
      </x:c>
      <x:c r="G714" s="44">
        <x:v>-6479.1980000000003</x:v>
      </x:c>
      <x:c r="H714" s="24" t="s">
        <x:v>82</x:v>
      </x:c>
      <x:c r="I714" s="24" t="s">
        <x:v>311</x:v>
      </x:c>
      <x:c r="J714" s="24" t="s">
        <x:v>503</x:v>
      </x:c>
      <x:c r="K714" s="22" t="s">
        <x:v>11</x:v>
      </x:c>
    </x:row>
    <x:row r="715" hidden="1">
      <x:c r="A715" s="24" t="s">
        <x:v>309</x:v>
      </x:c>
      <x:c r="B715" s="25">
        <x:v>46054</x:v>
      </x:c>
      <x:c r="C715" s="45" t="str">
        <x:f t="shared" si="11"/>
        <x:v>FEVEREIRO</x:v>
      </x:c>
      <x:c r="D715" s="24" t="s">
        <x:v>227</x:v>
      </x:c>
      <x:c r="E715" s="24" t="s">
        <x:v>313</x:v>
      </x:c>
      <x:c r="F715" s="24" t="s">
        <x:v>59</x:v>
      </x:c>
      <x:c r="G715" s="44">
        <x:v>-6479.1980000000003</x:v>
      </x:c>
      <x:c r="H715" s="24" t="s">
        <x:v>82</x:v>
      </x:c>
      <x:c r="I715" s="24" t="s">
        <x:v>311</x:v>
      </x:c>
      <x:c r="J715" s="24" t="s">
        <x:v>503</x:v>
      </x:c>
      <x:c r="K715" s="22" t="s">
        <x:v>11</x:v>
      </x:c>
    </x:row>
    <x:row r="716" hidden="1">
      <x:c r="A716" s="24" t="s">
        <x:v>309</x:v>
      </x:c>
      <x:c r="B716" s="25">
        <x:v>46054</x:v>
      </x:c>
      <x:c r="C716" s="45" t="str">
        <x:f t="shared" si="11"/>
        <x:v>FEVEREIRO</x:v>
      </x:c>
      <x:c r="D716" s="24" t="s">
        <x:v>227</x:v>
      </x:c>
      <x:c r="E716" s="24" t="s">
        <x:v>313</x:v>
      </x:c>
      <x:c r="F716" s="24" t="s">
        <x:v>66</x:v>
      </x:c>
      <x:c r="G716" s="44">
        <x:v>-6479.1980000000003</x:v>
      </x:c>
      <x:c r="H716" s="24" t="s">
        <x:v>82</x:v>
      </x:c>
      <x:c r="I716" s="24" t="s">
        <x:v>311</x:v>
      </x:c>
      <x:c r="J716" s="24" t="s">
        <x:v>503</x:v>
      </x:c>
      <x:c r="K716" s="22" t="s">
        <x:v>11</x:v>
      </x:c>
    </x:row>
    <x:row r="717" hidden="1">
      <x:c r="A717" s="24" t="s">
        <x:v>309</x:v>
      </x:c>
      <x:c r="B717" s="25">
        <x:v>46054</x:v>
      </x:c>
      <x:c r="C717" s="45" t="str">
        <x:f t="shared" si="11"/>
        <x:v>FEVEREIRO</x:v>
      </x:c>
      <x:c r="D717" s="24" t="s">
        <x:v>227</x:v>
      </x:c>
      <x:c r="E717" s="24" t="s">
        <x:v>313</x:v>
      </x:c>
      <x:c r="F717" s="24" t="s">
        <x:v>65</x:v>
      </x:c>
      <x:c r="G717" s="44">
        <x:v>-6479.1980000000003</x:v>
      </x:c>
      <x:c r="H717" s="24" t="s">
        <x:v>82</x:v>
      </x:c>
      <x:c r="I717" s="24" t="s">
        <x:v>311</x:v>
      </x:c>
      <x:c r="J717" s="24" t="s">
        <x:v>503</x:v>
      </x:c>
      <x:c r="K717" s="22" t="s">
        <x:v>11</x:v>
      </x:c>
    </x:row>
    <x:row r="718" hidden="1">
      <x:c r="A718" s="24" t="s">
        <x:v>315</x:v>
      </x:c>
      <x:c r="B718" s="25">
        <x:v>46054</x:v>
      </x:c>
      <x:c r="C718" s="45" t="str">
        <x:f t="shared" si="11"/>
        <x:v>FEVEREIRO</x:v>
      </x:c>
      <x:c r="D718" s="24" t="s">
        <x:v>162</x:v>
      </x:c>
      <x:c r="E718" s="24" t="s">
        <x:v>23</x:v>
      </x:c>
      <x:c r="F718" s="24" t="s">
        <x:v>65</x:v>
      </x:c>
      <x:c r="G718" s="44">
        <x:v>-400</x:v>
      </x:c>
      <x:c r="H718" s="24" t="s">
        <x:v>82</x:v>
      </x:c>
      <x:c r="I718" s="24" t="s">
        <x:v>311</x:v>
      </x:c>
      <x:c r="J718" s="24" t="s">
        <x:v>503</x:v>
      </x:c>
      <x:c r="K718" s="22" t="s">
        <x:v>11</x:v>
      </x:c>
    </x:row>
    <x:row r="719" hidden="1">
      <x:c r="A719" s="24" t="s">
        <x:v>504</x:v>
      </x:c>
      <x:c r="B719" s="25">
        <x:v>46054</x:v>
      </x:c>
      <x:c r="C719" s="45" t="str">
        <x:f t="shared" si="11"/>
        <x:v>FEVEREIRO</x:v>
      </x:c>
      <x:c r="D719" s="24" t="s">
        <x:v>89</x:v>
      </x:c>
      <x:c r="E719" s="24" t="s">
        <x:v>486</x:v>
      </x:c>
      <x:c r="F719" s="24" t="s">
        <x:v>65</x:v>
      </x:c>
      <x:c r="G719" s="44">
        <x:v>9755.5</x:v>
      </x:c>
      <x:c r="H719" s="24" t="s">
        <x:v>91</x:v>
      </x:c>
      <x:c r="I719" s="24" t="s">
        <x:v>311</x:v>
      </x:c>
      <x:c r="J719" s="24" t="s">
        <x:v>503</x:v>
      </x:c>
      <x:c r="K719" s="22" t="s">
        <x:v>11</x:v>
      </x:c>
    </x:row>
    <x:row r="720" hidden="1">
      <x:c r="A720" s="24" t="s">
        <x:v>325</x:v>
      </x:c>
      <x:c r="B720" s="25">
        <x:v>46054</x:v>
      </x:c>
      <x:c r="C720" s="45" t="str">
        <x:f t="shared" si="11"/>
        <x:v>FEVEREIRO</x:v>
      </x:c>
      <x:c r="D720" s="24" t="s">
        <x:v>227</x:v>
      </x:c>
      <x:c r="E720" s="24" t="s">
        <x:v>23</x:v>
      </x:c>
      <x:c r="F720" s="24" t="s">
        <x:v>65</x:v>
      </x:c>
      <x:c r="G720" s="44">
        <x:v>-180</x:v>
      </x:c>
      <x:c r="H720" s="24" t="s">
        <x:v>82</x:v>
      </x:c>
      <x:c r="I720" s="24" t="s">
        <x:v>311</x:v>
      </x:c>
      <x:c r="J720" s="24" t="s">
        <x:v>503</x:v>
      </x:c>
      <x:c r="K720" s="22" t="s">
        <x:v>11</x:v>
      </x:c>
    </x:row>
    <x:row r="721" hidden="1">
      <x:c r="A721" s="24" t="s">
        <x:v>325</x:v>
      </x:c>
      <x:c r="B721" s="25">
        <x:v>46054</x:v>
      </x:c>
      <x:c r="C721" s="45" t="str">
        <x:f t="shared" si="11"/>
        <x:v>FEVEREIRO</x:v>
      </x:c>
      <x:c r="D721" s="24" t="s">
        <x:v>227</x:v>
      </x:c>
      <x:c r="E721" s="24" t="s">
        <x:v>338</x:v>
      </x:c>
      <x:c r="F721" s="24" t="s">
        <x:v>385</x:v>
      </x:c>
      <x:c r="G721" s="44">
        <x:v>-252.02</x:v>
      </x:c>
      <x:c r="H721" s="24" t="s">
        <x:v>82</x:v>
      </x:c>
      <x:c r="I721" s="24" t="s">
        <x:v>311</x:v>
      </x:c>
      <x:c r="J721" s="24" t="s">
        <x:v>505</x:v>
      </x:c>
      <x:c r="K721" s="22" t="s">
        <x:v>11</x:v>
      </x:c>
    </x:row>
    <x:row r="722" hidden="1">
      <x:c r="A722" s="24" t="s">
        <x:v>315</x:v>
      </x:c>
      <x:c r="B722" s="25">
        <x:v>46054</x:v>
      </x:c>
      <x:c r="C722" s="45" t="str">
        <x:f t="shared" si="11"/>
        <x:v>FEVEREIRO</x:v>
      </x:c>
      <x:c r="D722" s="24" t="s">
        <x:v>162</x:v>
      </x:c>
      <x:c r="E722" s="24" t="s">
        <x:v>13</x:v>
      </x:c>
      <x:c r="F722" s="24" t="s">
        <x:v>59</x:v>
      </x:c>
      <x:c r="G722" s="44">
        <x:v>-400</x:v>
      </x:c>
      <x:c r="H722" s="24" t="s">
        <x:v>82</x:v>
      </x:c>
      <x:c r="I722" s="24" t="s">
        <x:v>311</x:v>
      </x:c>
      <x:c r="J722" s="24" t="s">
        <x:v>505</x:v>
      </x:c>
      <x:c r="K722" s="22" t="s">
        <x:v>11</x:v>
      </x:c>
    </x:row>
    <x:row r="723" hidden="1">
      <x:c r="A723" s="24" t="s">
        <x:v>506</x:v>
      </x:c>
      <x:c r="B723" s="25">
        <x:v>46054</x:v>
      </x:c>
      <x:c r="C723" s="45" t="str">
        <x:f t="shared" si="11"/>
        <x:v>FEVEREIRO</x:v>
      </x:c>
      <x:c r="D723" s="24" t="s">
        <x:v>89</x:v>
      </x:c>
      <x:c r="E723" s="24" t="s">
        <x:v>359</x:v>
      </x:c>
      <x:c r="F723" s="24" t="s">
        <x:v>59</x:v>
      </x:c>
      <x:c r="G723" s="44">
        <x:v>12774.8</x:v>
      </x:c>
      <x:c r="H723" s="24" t="s">
        <x:v>91</x:v>
      </x:c>
      <x:c r="I723" s="24" t="s">
        <x:v>311</x:v>
      </x:c>
      <x:c r="J723" s="24" t="s">
        <x:v>505</x:v>
      </x:c>
      <x:c r="K723" s="22" t="s">
        <x:v>11</x:v>
      </x:c>
    </x:row>
    <x:row r="724" hidden="1">
      <x:c r="A724" s="24" t="s">
        <x:v>507</x:v>
      </x:c>
      <x:c r="B724" s="25">
        <x:v>46054</x:v>
      </x:c>
      <x:c r="C724" s="45" t="str">
        <x:f t="shared" si="11"/>
        <x:v>FEVEREIRO</x:v>
      </x:c>
      <x:c r="D724" s="24" t="s">
        <x:v>89</x:v>
      </x:c>
      <x:c r="E724" s="24" t="s">
        <x:v>508</x:v>
      </x:c>
      <x:c r="F724" s="24" t="s">
        <x:v>66</x:v>
      </x:c>
      <x:c r="G724" s="44">
        <x:v>7136</x:v>
      </x:c>
      <x:c r="H724" s="24" t="s">
        <x:v>91</x:v>
      </x:c>
      <x:c r="I724" s="24" t="s">
        <x:v>311</x:v>
      </x:c>
      <x:c r="J724" s="24" t="s">
        <x:v>505</x:v>
      </x:c>
      <x:c r="K724" s="22" t="s">
        <x:v>11</x:v>
      </x:c>
    </x:row>
    <x:row r="725" hidden="1">
      <x:c r="A725" s="24" t="s">
        <x:v>315</x:v>
      </x:c>
      <x:c r="B725" s="25">
        <x:v>46054</x:v>
      </x:c>
      <x:c r="C725" s="45" t="str">
        <x:f t="shared" si="11"/>
        <x:v>FEVEREIRO</x:v>
      </x:c>
      <x:c r="D725" s="24" t="s">
        <x:v>162</x:v>
      </x:c>
      <x:c r="E725" s="24" t="s">
        <x:v>24</x:v>
      </x:c>
      <x:c r="F725" s="24" t="s">
        <x:v>66</x:v>
      </x:c>
      <x:c r="G725" s="44">
        <x:v>-400</x:v>
      </x:c>
      <x:c r="H725" s="24" t="s">
        <x:v>82</x:v>
      </x:c>
      <x:c r="I725" s="24" t="s">
        <x:v>311</x:v>
      </x:c>
      <x:c r="J725" s="24" t="s">
        <x:v>505</x:v>
      </x:c>
      <x:c r="K725" s="22" t="s">
        <x:v>11</x:v>
      </x:c>
    </x:row>
    <x:row r="726" hidden="1">
      <x:c r="A726" s="30" t="s">
        <x:v>112</x:v>
      </x:c>
      <x:c r="B726" s="25">
        <x:v>46054</x:v>
      </x:c>
      <x:c r="C726" s="45" t="str">
        <x:f t="shared" si="11"/>
        <x:v>FEVEREIRO</x:v>
      </x:c>
      <x:c r="D726" s="24" t="s">
        <x:v>112</x:v>
      </x:c>
      <x:c r="E726" s="24" t="s">
        <x:v>341</x:v>
      </x:c>
      <x:c r="F726" s="24" t="s">
        <x:v>385</x:v>
      </x:c>
      <x:c r="G726" s="44">
        <x:v>-3709.16</x:v>
      </x:c>
      <x:c r="H726" s="24" t="s">
        <x:v>82</x:v>
      </x:c>
      <x:c r="I726" s="24" t="s">
        <x:v>311</x:v>
      </x:c>
      <x:c r="J726" s="24" t="s">
        <x:v>509</x:v>
      </x:c>
      <x:c r="K726" s="22" t="s">
        <x:v>11</x:v>
      </x:c>
    </x:row>
    <x:row r="727" hidden="1">
      <x:c r="A727" s="24" t="s">
        <x:v>315</x:v>
      </x:c>
      <x:c r="B727" s="25">
        <x:v>46054</x:v>
      </x:c>
      <x:c r="C727" s="45" t="str">
        <x:f t="shared" si="11"/>
        <x:v>FEVEREIRO</x:v>
      </x:c>
      <x:c r="D727" s="24" t="s">
        <x:v>162</x:v>
      </x:c>
      <x:c r="E727" s="24" t="s">
        <x:v>317</x:v>
      </x:c>
      <x:c r="F727" s="24" t="s">
        <x:v>44</x:v>
      </x:c>
      <x:c r="G727" s="44">
        <x:v>-400</x:v>
      </x:c>
      <x:c r="H727" s="24" t="s">
        <x:v>82</x:v>
      </x:c>
      <x:c r="I727" s="24" t="s">
        <x:v>311</x:v>
      </x:c>
      <x:c r="J727" s="24" t="s">
        <x:v>509</x:v>
      </x:c>
      <x:c r="K727" s="22" t="s">
        <x:v>11</x:v>
      </x:c>
    </x:row>
    <x:row r="728" hidden="1">
      <x:c r="A728" s="24" t="s">
        <x:v>510</x:v>
      </x:c>
      <x:c r="B728" s="25">
        <x:v>46054</x:v>
      </x:c>
      <x:c r="C728" s="45" t="str">
        <x:f t="shared" si="11"/>
        <x:v>FEVEREIRO</x:v>
      </x:c>
      <x:c r="D728" s="24" t="s">
        <x:v>89</x:v>
      </x:c>
      <x:c r="E728" s="24" t="s">
        <x:v>413</x:v>
      </x:c>
      <x:c r="F728" s="24" t="s">
        <x:v>44</x:v>
      </x:c>
      <x:c r="G728" s="44">
        <x:v>11150.7</x:v>
      </x:c>
      <x:c r="H728" s="24" t="s">
        <x:v>91</x:v>
      </x:c>
      <x:c r="I728" s="24" t="s">
        <x:v>311</x:v>
      </x:c>
      <x:c r="J728" s="24" t="s">
        <x:v>509</x:v>
      </x:c>
      <x:c r="K728" s="22" t="s">
        <x:v>11</x:v>
      </x:c>
    </x:row>
    <x:row r="729" hidden="1">
      <x:c r="A729" s="24" t="s">
        <x:v>397</x:v>
      </x:c>
      <x:c r="B729" s="25">
        <x:v>46054</x:v>
      </x:c>
      <x:c r="C729" s="45" t="str">
        <x:f t="shared" si="11"/>
        <x:v>FEVEREIRO</x:v>
      </x:c>
      <x:c r="D729" s="24" t="s">
        <x:v>183</x:v>
      </x:c>
      <x:c r="E729" s="24" t="s">
        <x:v>183</x:v>
      </x:c>
      <x:c r="F729" s="24" t="s">
        <x:v>314</x:v>
      </x:c>
      <x:c r="G729" s="44">
        <x:v>-2500</x:v>
      </x:c>
      <x:c r="H729" s="24" t="s">
        <x:v>82</x:v>
      </x:c>
      <x:c r="I729" s="24" t="s">
        <x:v>311</x:v>
      </x:c>
      <x:c r="J729" s="24" t="s">
        <x:v>509</x:v>
      </x:c>
      <x:c r="K729" s="22" t="s">
        <x:v>11</x:v>
      </x:c>
    </x:row>
    <x:row r="730" hidden="1">
      <x:c r="A730" s="24" t="s">
        <x:v>397</x:v>
      </x:c>
      <x:c r="B730" s="25">
        <x:v>46054</x:v>
      </x:c>
      <x:c r="C730" s="45" t="str">
        <x:f t="shared" si="11"/>
        <x:v>FEVEREIRO</x:v>
      </x:c>
      <x:c r="D730" s="24" t="s">
        <x:v>183</x:v>
      </x:c>
      <x:c r="E730" s="24" t="s">
        <x:v>183</x:v>
      </x:c>
      <x:c r="F730" s="24" t="s">
        <x:v>59</x:v>
      </x:c>
      <x:c r="G730" s="44">
        <x:v>-2500</x:v>
      </x:c>
      <x:c r="H730" s="24" t="s">
        <x:v>82</x:v>
      </x:c>
      <x:c r="I730" s="24" t="s">
        <x:v>311</x:v>
      </x:c>
      <x:c r="J730" s="24" t="s">
        <x:v>509</x:v>
      </x:c>
      <x:c r="K730" s="22" t="s">
        <x:v>11</x:v>
      </x:c>
    </x:row>
    <x:row r="731" hidden="1">
      <x:c r="A731" s="24" t="s">
        <x:v>397</x:v>
      </x:c>
      <x:c r="B731" s="25">
        <x:v>46054</x:v>
      </x:c>
      <x:c r="C731" s="45" t="str">
        <x:f t="shared" si="11"/>
        <x:v>FEVEREIRO</x:v>
      </x:c>
      <x:c r="D731" s="24" t="s">
        <x:v>183</x:v>
      </x:c>
      <x:c r="E731" s="24" t="s">
        <x:v>183</x:v>
      </x:c>
      <x:c r="F731" s="24" t="s">
        <x:v>66</x:v>
      </x:c>
      <x:c r="G731" s="44">
        <x:v>-2500</x:v>
      </x:c>
      <x:c r="H731" s="24" t="s">
        <x:v>82</x:v>
      </x:c>
      <x:c r="I731" s="24" t="s">
        <x:v>311</x:v>
      </x:c>
      <x:c r="J731" s="24" t="s">
        <x:v>509</x:v>
      </x:c>
      <x:c r="K731" s="22" t="s">
        <x:v>11</x:v>
      </x:c>
    </x:row>
    <x:row r="732" hidden="1">
      <x:c r="A732" s="24" t="s">
        <x:v>397</x:v>
      </x:c>
      <x:c r="B732" s="25">
        <x:v>46054</x:v>
      </x:c>
      <x:c r="C732" s="45" t="str">
        <x:f t="shared" si="11"/>
        <x:v>FEVEREIRO</x:v>
      </x:c>
      <x:c r="D732" s="24" t="s">
        <x:v>183</x:v>
      </x:c>
      <x:c r="E732" s="24" t="s">
        <x:v>183</x:v>
      </x:c>
      <x:c r="F732" s="24" t="s">
        <x:v>44</x:v>
      </x:c>
      <x:c r="G732" s="44">
        <x:v>-2500</x:v>
      </x:c>
      <x:c r="H732" s="24" t="s">
        <x:v>82</x:v>
      </x:c>
      <x:c r="I732" s="24" t="s">
        <x:v>311</x:v>
      </x:c>
      <x:c r="J732" s="24" t="s">
        <x:v>509</x:v>
      </x:c>
      <x:c r="K732" s="22" t="s">
        <x:v>11</x:v>
      </x:c>
    </x:row>
    <x:row r="733" hidden="1">
      <x:c r="A733" s="24" t="s">
        <x:v>397</x:v>
      </x:c>
      <x:c r="B733" s="25">
        <x:v>46054</x:v>
      </x:c>
      <x:c r="C733" s="45" t="str">
        <x:f t="shared" si="11"/>
        <x:v>FEVEREIRO</x:v>
      </x:c>
      <x:c r="D733" s="24" t="s">
        <x:v>183</x:v>
      </x:c>
      <x:c r="E733" s="24" t="s">
        <x:v>183</x:v>
      </x:c>
      <x:c r="F733" s="24" t="s">
        <x:v>65</x:v>
      </x:c>
      <x:c r="G733" s="44">
        <x:v>-2500</x:v>
      </x:c>
      <x:c r="H733" s="24" t="s">
        <x:v>82</x:v>
      </x:c>
      <x:c r="I733" s="24" t="s">
        <x:v>311</x:v>
      </x:c>
      <x:c r="J733" s="24" t="s">
        <x:v>509</x:v>
      </x:c>
      <x:c r="K733" s="22" t="s">
        <x:v>11</x:v>
      </x:c>
    </x:row>
    <x:row r="734" hidden="1">
      <x:c r="A734" s="24" t="s">
        <x:v>337</x:v>
      </x:c>
      <x:c r="B734" s="25">
        <x:v>46054</x:v>
      </x:c>
      <x:c r="C734" s="45" t="str">
        <x:f t="shared" si="11"/>
        <x:v>FEVEREIRO</x:v>
      </x:c>
      <x:c r="D734" s="24" t="s">
        <x:v>227</x:v>
      </x:c>
      <x:c r="E734" s="24" t="s">
        <x:v>511</x:v>
      </x:c>
      <x:c r="F734" s="24" t="s">
        <x:v>59</x:v>
      </x:c>
      <x:c r="G734" s="44">
        <x:v>-3714.23</x:v>
      </x:c>
      <x:c r="H734" s="24" t="s">
        <x:v>82</x:v>
      </x:c>
      <x:c r="I734" s="24" t="s">
        <x:v>311</x:v>
      </x:c>
      <x:c r="J734" s="24" t="s">
        <x:v>512</x:v>
      </x:c>
      <x:c r="K734" s="22" t="s">
        <x:v>11</x:v>
      </x:c>
    </x:row>
    <x:row r="735" hidden="1">
      <x:c r="A735" s="24" t="s">
        <x:v>337</x:v>
      </x:c>
      <x:c r="B735" s="25">
        <x:v>46054</x:v>
      </x:c>
      <x:c r="C735" s="45" t="str">
        <x:f t="shared" si="11"/>
        <x:v>FEVEREIRO</x:v>
      </x:c>
      <x:c r="D735" s="24" t="s">
        <x:v>227</x:v>
      </x:c>
      <x:c r="E735" s="24" t="s">
        <x:v>511</x:v>
      </x:c>
      <x:c r="F735" s="24" t="s">
        <x:v>314</x:v>
      </x:c>
      <x:c r="G735" s="44">
        <x:v>-1696.97</x:v>
      </x:c>
      <x:c r="H735" s="24" t="s">
        <x:v>82</x:v>
      </x:c>
      <x:c r="I735" s="24" t="s">
        <x:v>311</x:v>
      </x:c>
      <x:c r="J735" s="24" t="s">
        <x:v>512</x:v>
      </x:c>
      <x:c r="K735" s="22" t="s">
        <x:v>11</x:v>
      </x:c>
    </x:row>
    <x:row r="736" hidden="1">
      <x:c r="A736" s="24" t="s">
        <x:v>415</x:v>
      </x:c>
      <x:c r="B736" s="25">
        <x:v>46054</x:v>
      </x:c>
      <x:c r="C736" s="45" t="str">
        <x:f t="shared" si="11"/>
        <x:v>FEVEREIRO</x:v>
      </x:c>
      <x:c r="D736" s="24" t="s">
        <x:v>107</x:v>
      </x:c>
      <x:c r="E736" s="24" t="s">
        <x:v>107</x:v>
      </x:c>
      <x:c r="F736" s="24" t="s">
        <x:v>65</x:v>
      </x:c>
      <x:c r="G736" s="44">
        <x:v>-12.458</x:v>
      </x:c>
      <x:c r="H736" s="24" t="s">
        <x:v>82</x:v>
      </x:c>
      <x:c r="I736" s="24" t="s">
        <x:v>311</x:v>
      </x:c>
      <x:c r="J736" s="24" t="s">
        <x:v>512</x:v>
      </x:c>
      <x:c r="K736" s="22" t="s">
        <x:v>11</x:v>
      </x:c>
    </x:row>
    <x:row r="737" hidden="1">
      <x:c r="A737" s="24" t="s">
        <x:v>415</x:v>
      </x:c>
      <x:c r="B737" s="25">
        <x:v>46054</x:v>
      </x:c>
      <x:c r="C737" s="45" t="str">
        <x:f t="shared" si="11"/>
        <x:v>FEVEREIRO</x:v>
      </x:c>
      <x:c r="D737" s="24" t="s">
        <x:v>107</x:v>
      </x:c>
      <x:c r="E737" s="24" t="s">
        <x:v>107</x:v>
      </x:c>
      <x:c r="F737" s="24" t="s">
        <x:v>66</x:v>
      </x:c>
      <x:c r="G737" s="44">
        <x:v>-12.458</x:v>
      </x:c>
      <x:c r="H737" s="24" t="s">
        <x:v>82</x:v>
      </x:c>
      <x:c r="I737" s="24" t="s">
        <x:v>311</x:v>
      </x:c>
      <x:c r="J737" s="24" t="s">
        <x:v>512</x:v>
      </x:c>
      <x:c r="K737" s="22" t="s">
        <x:v>11</x:v>
      </x:c>
    </x:row>
    <x:row r="738" hidden="1">
      <x:c r="A738" s="24" t="s">
        <x:v>415</x:v>
      </x:c>
      <x:c r="B738" s="25">
        <x:v>46054</x:v>
      </x:c>
      <x:c r="C738" s="45" t="str">
        <x:f t="shared" si="11"/>
        <x:v>FEVEREIRO</x:v>
      </x:c>
      <x:c r="D738" s="24" t="s">
        <x:v>107</x:v>
      </x:c>
      <x:c r="E738" s="24" t="s">
        <x:v>107</x:v>
      </x:c>
      <x:c r="F738" s="24" t="s">
        <x:v>59</x:v>
      </x:c>
      <x:c r="G738" s="44">
        <x:v>-12.458</x:v>
      </x:c>
      <x:c r="H738" s="24" t="s">
        <x:v>82</x:v>
      </x:c>
      <x:c r="I738" s="24" t="s">
        <x:v>311</x:v>
      </x:c>
      <x:c r="J738" s="24" t="s">
        <x:v>512</x:v>
      </x:c>
      <x:c r="K738" s="22" t="s">
        <x:v>11</x:v>
      </x:c>
    </x:row>
    <x:row r="739" hidden="1">
      <x:c r="A739" s="24" t="s">
        <x:v>415</x:v>
      </x:c>
      <x:c r="B739" s="25">
        <x:v>46054</x:v>
      </x:c>
      <x:c r="C739" s="45" t="str">
        <x:f t="shared" si="11"/>
        <x:v>FEVEREIRO</x:v>
      </x:c>
      <x:c r="D739" s="24" t="s">
        <x:v>107</x:v>
      </x:c>
      <x:c r="E739" s="24" t="s">
        <x:v>107</x:v>
      </x:c>
      <x:c r="F739" s="24" t="s">
        <x:v>314</x:v>
      </x:c>
      <x:c r="G739" s="44">
        <x:v>-12.458</x:v>
      </x:c>
      <x:c r="H739" s="24" t="s">
        <x:v>82</x:v>
      </x:c>
      <x:c r="I739" s="24" t="s">
        <x:v>311</x:v>
      </x:c>
      <x:c r="J739" s="24" t="s">
        <x:v>512</x:v>
      </x:c>
      <x:c r="K739" s="22" t="s">
        <x:v>11</x:v>
      </x:c>
    </x:row>
    <x:row r="740" hidden="1">
      <x:c r="A740" s="24" t="s">
        <x:v>415</x:v>
      </x:c>
      <x:c r="B740" s="25">
        <x:v>46054</x:v>
      </x:c>
      <x:c r="C740" s="45" t="str">
        <x:f t="shared" si="11"/>
        <x:v>FEVEREIRO</x:v>
      </x:c>
      <x:c r="D740" s="24" t="s">
        <x:v>107</x:v>
      </x:c>
      <x:c r="E740" s="24" t="s">
        <x:v>107</x:v>
      </x:c>
      <x:c r="F740" s="24" t="s">
        <x:v>44</x:v>
      </x:c>
      <x:c r="G740" s="44">
        <x:v>-12.458</x:v>
      </x:c>
      <x:c r="H740" s="24" t="s">
        <x:v>82</x:v>
      </x:c>
      <x:c r="I740" s="24" t="s">
        <x:v>311</x:v>
      </x:c>
      <x:c r="J740" s="24" t="s">
        <x:v>512</x:v>
      </x:c>
      <x:c r="K740" s="22" t="s">
        <x:v>11</x:v>
      </x:c>
    </x:row>
    <x:row r="741" hidden="1">
      <x:c r="A741" s="24" t="s">
        <x:v>309</x:v>
      </x:c>
      <x:c r="B741" s="25">
        <x:v>46054</x:v>
      </x:c>
      <x:c r="C741" s="45" t="str">
        <x:f t="shared" si="11"/>
        <x:v>FEVEREIRO</x:v>
      </x:c>
      <x:c r="D741" s="24" t="s">
        <x:v>227</x:v>
      </x:c>
      <x:c r="E741" s="24" t="s">
        <x:v>490</x:v>
      </x:c>
      <x:c r="F741" s="24" t="s">
        <x:v>314</x:v>
      </x:c>
      <x:c r="G741" s="44">
        <x:v>-3758.4920000000002</x:v>
      </x:c>
      <x:c r="H741" s="24" t="s">
        <x:v>82</x:v>
      </x:c>
      <x:c r="I741" s="24" t="s">
        <x:v>311</x:v>
      </x:c>
      <x:c r="J741" s="24" t="s">
        <x:v>512</x:v>
      </x:c>
      <x:c r="K741" s="22" t="s">
        <x:v>11</x:v>
      </x:c>
    </x:row>
    <x:row r="742" hidden="1">
      <x:c r="A742" s="24" t="s">
        <x:v>309</x:v>
      </x:c>
      <x:c r="B742" s="25">
        <x:v>46054</x:v>
      </x:c>
      <x:c r="C742" s="45" t="str">
        <x:f t="shared" si="11"/>
        <x:v>FEVEREIRO</x:v>
      </x:c>
      <x:c r="D742" s="24" t="s">
        <x:v>227</x:v>
      </x:c>
      <x:c r="E742" s="24" t="s">
        <x:v>490</x:v>
      </x:c>
      <x:c r="F742" s="24" t="s">
        <x:v>44</x:v>
      </x:c>
      <x:c r="G742" s="44">
        <x:v>-3758.4920000000002</x:v>
      </x:c>
      <x:c r="H742" s="24" t="s">
        <x:v>82</x:v>
      </x:c>
      <x:c r="I742" s="24" t="s">
        <x:v>311</x:v>
      </x:c>
      <x:c r="J742" s="24" t="s">
        <x:v>512</x:v>
      </x:c>
      <x:c r="K742" s="22" t="s">
        <x:v>11</x:v>
      </x:c>
    </x:row>
    <x:row r="743" hidden="1">
      <x:c r="A743" s="24" t="s">
        <x:v>309</x:v>
      </x:c>
      <x:c r="B743" s="25">
        <x:v>46054</x:v>
      </x:c>
      <x:c r="C743" s="45" t="str">
        <x:f t="shared" si="11"/>
        <x:v>FEVEREIRO</x:v>
      </x:c>
      <x:c r="D743" s="24" t="s">
        <x:v>227</x:v>
      </x:c>
      <x:c r="E743" s="24" t="s">
        <x:v>490</x:v>
      </x:c>
      <x:c r="F743" s="24" t="s">
        <x:v>59</x:v>
      </x:c>
      <x:c r="G743" s="44">
        <x:v>-3758.4920000000002</x:v>
      </x:c>
      <x:c r="H743" s="24" t="s">
        <x:v>82</x:v>
      </x:c>
      <x:c r="I743" s="24" t="s">
        <x:v>311</x:v>
      </x:c>
      <x:c r="J743" s="24" t="s">
        <x:v>512</x:v>
      </x:c>
      <x:c r="K743" s="22" t="s">
        <x:v>11</x:v>
      </x:c>
    </x:row>
    <x:row r="744" hidden="1">
      <x:c r="A744" s="24" t="s">
        <x:v>309</x:v>
      </x:c>
      <x:c r="B744" s="25">
        <x:v>46054</x:v>
      </x:c>
      <x:c r="C744" s="45" t="str">
        <x:f t="shared" si="11"/>
        <x:v>FEVEREIRO</x:v>
      </x:c>
      <x:c r="D744" s="24" t="s">
        <x:v>227</x:v>
      </x:c>
      <x:c r="E744" s="24" t="s">
        <x:v>490</x:v>
      </x:c>
      <x:c r="F744" s="24" t="s">
        <x:v>66</x:v>
      </x:c>
      <x:c r="G744" s="44">
        <x:v>-3758.4920000000002</x:v>
      </x:c>
      <x:c r="H744" s="24" t="s">
        <x:v>82</x:v>
      </x:c>
      <x:c r="I744" s="24" t="s">
        <x:v>311</x:v>
      </x:c>
      <x:c r="J744" s="24" t="s">
        <x:v>512</x:v>
      </x:c>
      <x:c r="K744" s="22" t="s">
        <x:v>11</x:v>
      </x:c>
    </x:row>
    <x:row r="745" hidden="1">
      <x:c r="A745" s="24" t="s">
        <x:v>309</x:v>
      </x:c>
      <x:c r="B745" s="25">
        <x:v>46054</x:v>
      </x:c>
      <x:c r="C745" s="45" t="str">
        <x:f t="shared" si="11"/>
        <x:v>FEVEREIRO</x:v>
      </x:c>
      <x:c r="D745" s="24" t="s">
        <x:v>227</x:v>
      </x:c>
      <x:c r="E745" s="24" t="s">
        <x:v>490</x:v>
      </x:c>
      <x:c r="F745" s="24" t="s">
        <x:v>65</x:v>
      </x:c>
      <x:c r="G745" s="44">
        <x:v>-3758.4920000000002</x:v>
      </x:c>
      <x:c r="H745" s="24" t="s">
        <x:v>82</x:v>
      </x:c>
      <x:c r="I745" s="24" t="s">
        <x:v>311</x:v>
      </x:c>
      <x:c r="J745" s="24" t="s">
        <x:v>512</x:v>
      </x:c>
      <x:c r="K745" s="22" t="s">
        <x:v>11</x:v>
      </x:c>
    </x:row>
    <x:row r="746" hidden="1">
      <x:c r="A746" s="24" t="s">
        <x:v>513</x:v>
      </x:c>
      <x:c r="B746" s="25">
        <x:v>46054</x:v>
      </x:c>
      <x:c r="C746" s="45" t="str">
        <x:f t="shared" si="11"/>
        <x:v>FEVEREIRO</x:v>
      </x:c>
      <x:c r="D746" s="24" t="s">
        <x:v>89</x:v>
      </x:c>
      <x:c r="E746" s="24" t="s">
        <x:v>359</x:v>
      </x:c>
      <x:c r="F746" s="24" t="s">
        <x:v>59</x:v>
      </x:c>
      <x:c r="G746" s="44">
        <x:v>12011.8</x:v>
      </x:c>
      <x:c r="H746" s="24" t="s">
        <x:v>91</x:v>
      </x:c>
      <x:c r="I746" s="24" t="s">
        <x:v>311</x:v>
      </x:c>
      <x:c r="J746" s="24" t="s">
        <x:v>514</x:v>
      </x:c>
      <x:c r="K746" s="22" t="s">
        <x:v>11</x:v>
      </x:c>
    </x:row>
    <x:row r="747" hidden="1">
      <x:c r="A747" s="24" t="s">
        <x:v>315</x:v>
      </x:c>
      <x:c r="B747" s="25">
        <x:v>46054</x:v>
      </x:c>
      <x:c r="C747" s="45" t="str">
        <x:f t="shared" si="11"/>
        <x:v>FEVEREIRO</x:v>
      </x:c>
      <x:c r="D747" s="24" t="s">
        <x:v>162</x:v>
      </x:c>
      <x:c r="E747" s="24" t="s">
        <x:v>13</x:v>
      </x:c>
      <x:c r="F747" s="24" t="s">
        <x:v>59</x:v>
      </x:c>
      <x:c r="G747" s="44">
        <x:v>-400</x:v>
      </x:c>
      <x:c r="H747" s="24" t="s">
        <x:v>82</x:v>
      </x:c>
      <x:c r="I747" s="24" t="s">
        <x:v>311</x:v>
      </x:c>
      <x:c r="J747" s="24" t="s">
        <x:v>514</x:v>
      </x:c>
      <x:c r="K747" s="22" t="s">
        <x:v>11</x:v>
      </x:c>
    </x:row>
    <x:row r="748" hidden="1">
      <x:c r="A748" s="24" t="s">
        <x:v>315</x:v>
      </x:c>
      <x:c r="B748" s="25">
        <x:v>46054</x:v>
      </x:c>
      <x:c r="C748" s="45" t="str">
        <x:f t="shared" si="11"/>
        <x:v>FEVEREIRO</x:v>
      </x:c>
      <x:c r="D748" s="24" t="s">
        <x:v>162</x:v>
      </x:c>
      <x:c r="E748" s="24" t="s">
        <x:v>23</x:v>
      </x:c>
      <x:c r="F748" s="24" t="s">
        <x:v>65</x:v>
      </x:c>
      <x:c r="G748" s="44">
        <x:v>-400</x:v>
      </x:c>
      <x:c r="H748" s="24" t="s">
        <x:v>82</x:v>
      </x:c>
      <x:c r="I748" s="24" t="s">
        <x:v>311</x:v>
      </x:c>
      <x:c r="J748" s="24" t="s">
        <x:v>514</x:v>
      </x:c>
      <x:c r="K748" s="22" t="s">
        <x:v>11</x:v>
      </x:c>
    </x:row>
    <x:row r="749" hidden="1">
      <x:c r="A749" s="24" t="s">
        <x:v>515</x:v>
      </x:c>
      <x:c r="B749" s="25">
        <x:v>46054</x:v>
      </x:c>
      <x:c r="C749" s="45" t="str">
        <x:f t="shared" si="11"/>
        <x:v>FEVEREIRO</x:v>
      </x:c>
      <x:c r="D749" s="24" t="s">
        <x:v>89</x:v>
      </x:c>
      <x:c r="E749" s="24" t="s">
        <x:v>344</x:v>
      </x:c>
      <x:c r="F749" s="24" t="s">
        <x:v>65</x:v>
      </x:c>
      <x:c r="G749" s="44">
        <x:v>9733.7000000000007</x:v>
      </x:c>
      <x:c r="H749" s="24" t="s">
        <x:v>91</x:v>
      </x:c>
      <x:c r="I749" s="24" t="s">
        <x:v>311</x:v>
      </x:c>
      <x:c r="J749" s="24" t="s">
        <x:v>514</x:v>
      </x:c>
      <x:c r="K749" s="22" t="s">
        <x:v>11</x:v>
      </x:c>
    </x:row>
    <x:row r="750" hidden="1">
      <x:c r="A750" s="24" t="s">
        <x:v>357</x:v>
      </x:c>
      <x:c r="B750" s="25">
        <x:v>46054</x:v>
      </x:c>
      <x:c r="C750" s="45" t="str">
        <x:f t="shared" si="11"/>
        <x:v>FEVEREIRO</x:v>
      </x:c>
      <x:c r="D750" s="24" t="s">
        <x:v>227</x:v>
      </x:c>
      <x:c r="E750" s="24" t="s">
        <x:v>440</x:v>
      </x:c>
      <x:c r="F750" s="24" t="s">
        <x:v>385</x:v>
      </x:c>
      <x:c r="G750" s="44">
        <x:v>-747.75</x:v>
      </x:c>
      <x:c r="H750" s="24" t="s">
        <x:v>82</x:v>
      </x:c>
      <x:c r="I750" s="24" t="s">
        <x:v>311</x:v>
      </x:c>
      <x:c r="J750" s="24" t="s">
        <x:v>516</x:v>
      </x:c>
      <x:c r="K750" s="22" t="s">
        <x:v>11</x:v>
      </x:c>
    </x:row>
    <x:row r="751" hidden="1">
      <x:c r="A751" s="24" t="s">
        <x:v>390</x:v>
      </x:c>
      <x:c r="B751" s="25">
        <x:v>46054</x:v>
      </x:c>
      <x:c r="C751" s="45" t="str">
        <x:f t="shared" si="11"/>
        <x:v>FEVEREIRO</x:v>
      </x:c>
      <x:c r="D751" s="24" t="s">
        <x:v>110</x:v>
      </x:c>
      <x:c r="E751" s="24" t="s">
        <x:v>391</x:v>
      </x:c>
      <x:c r="F751" s="24" t="s">
        <x:v>314</x:v>
      </x:c>
      <x:c r="G751" s="44">
        <x:v>-12527.121999999999</x:v>
      </x:c>
      <x:c r="H751" s="24" t="s">
        <x:v>82</x:v>
      </x:c>
      <x:c r="I751" s="24" t="s">
        <x:v>311</x:v>
      </x:c>
      <x:c r="J751" s="24" t="s">
        <x:v>516</x:v>
      </x:c>
      <x:c r="K751" s="22" t="s">
        <x:v>11</x:v>
      </x:c>
    </x:row>
    <x:row r="752" hidden="1">
      <x:c r="A752" s="24" t="s">
        <x:v>390</x:v>
      </x:c>
      <x:c r="B752" s="25">
        <x:v>46054</x:v>
      </x:c>
      <x:c r="C752" s="45" t="str">
        <x:f t="shared" si="11"/>
        <x:v>FEVEREIRO</x:v>
      </x:c>
      <x:c r="D752" s="24" t="s">
        <x:v>110</x:v>
      </x:c>
      <x:c r="E752" s="24" t="s">
        <x:v>391</x:v>
      </x:c>
      <x:c r="F752" s="24" t="s">
        <x:v>59</x:v>
      </x:c>
      <x:c r="G752" s="44">
        <x:v>-12527.121999999999</x:v>
      </x:c>
      <x:c r="H752" s="24" t="s">
        <x:v>82</x:v>
      </x:c>
      <x:c r="I752" s="24" t="s">
        <x:v>311</x:v>
      </x:c>
      <x:c r="J752" s="24" t="s">
        <x:v>516</x:v>
      </x:c>
      <x:c r="K752" s="22" t="s">
        <x:v>11</x:v>
      </x:c>
    </x:row>
    <x:row r="753" hidden="1">
      <x:c r="A753" s="24" t="s">
        <x:v>390</x:v>
      </x:c>
      <x:c r="B753" s="25">
        <x:v>46054</x:v>
      </x:c>
      <x:c r="C753" s="45" t="str">
        <x:f t="shared" si="11"/>
        <x:v>FEVEREIRO</x:v>
      </x:c>
      <x:c r="D753" s="24" t="s">
        <x:v>110</x:v>
      </x:c>
      <x:c r="E753" s="24" t="s">
        <x:v>391</x:v>
      </x:c>
      <x:c r="F753" s="24" t="s">
        <x:v>44</x:v>
      </x:c>
      <x:c r="G753" s="44">
        <x:v>-12527.121999999999</x:v>
      </x:c>
      <x:c r="H753" s="24" t="s">
        <x:v>82</x:v>
      </x:c>
      <x:c r="I753" s="24" t="s">
        <x:v>311</x:v>
      </x:c>
      <x:c r="J753" s="24" t="s">
        <x:v>516</x:v>
      </x:c>
      <x:c r="K753" s="22" t="s">
        <x:v>11</x:v>
      </x:c>
    </x:row>
    <x:row r="754" hidden="1">
      <x:c r="A754" s="24" t="s">
        <x:v>390</x:v>
      </x:c>
      <x:c r="B754" s="25">
        <x:v>46054</x:v>
      </x:c>
      <x:c r="C754" s="45" t="str">
        <x:f t="shared" si="11"/>
        <x:v>FEVEREIRO</x:v>
      </x:c>
      <x:c r="D754" s="24" t="s">
        <x:v>110</x:v>
      </x:c>
      <x:c r="E754" s="24" t="s">
        <x:v>391</x:v>
      </x:c>
      <x:c r="F754" s="24" t="s">
        <x:v>65</x:v>
      </x:c>
      <x:c r="G754" s="44">
        <x:v>-12527.121999999999</x:v>
      </x:c>
      <x:c r="H754" s="24" t="s">
        <x:v>82</x:v>
      </x:c>
      <x:c r="I754" s="24" t="s">
        <x:v>311</x:v>
      </x:c>
      <x:c r="J754" s="24" t="s">
        <x:v>516</x:v>
      </x:c>
      <x:c r="K754" s="22" t="s">
        <x:v>11</x:v>
      </x:c>
    </x:row>
    <x:row r="755" hidden="1">
      <x:c r="A755" s="24" t="s">
        <x:v>390</x:v>
      </x:c>
      <x:c r="B755" s="25">
        <x:v>46054</x:v>
      </x:c>
      <x:c r="C755" s="45" t="str">
        <x:f t="shared" si="11"/>
        <x:v>FEVEREIRO</x:v>
      </x:c>
      <x:c r="D755" s="24" t="s">
        <x:v>110</x:v>
      </x:c>
      <x:c r="E755" s="24" t="s">
        <x:v>391</x:v>
      </x:c>
      <x:c r="F755" s="24" t="s">
        <x:v>66</x:v>
      </x:c>
      <x:c r="G755" s="44">
        <x:v>-12527.121999999999</x:v>
      </x:c>
      <x:c r="H755" s="24" t="s">
        <x:v>82</x:v>
      </x:c>
      <x:c r="I755" s="24" t="s">
        <x:v>311</x:v>
      </x:c>
      <x:c r="J755" s="24" t="s">
        <x:v>516</x:v>
      </x:c>
      <x:c r="K755" s="22" t="s">
        <x:v>11</x:v>
      </x:c>
    </x:row>
    <x:row r="756" hidden="1">
      <x:c r="A756" s="24" t="s">
        <x:v>325</x:v>
      </x:c>
      <x:c r="B756" s="25">
        <x:v>46054</x:v>
      </x:c>
      <x:c r="C756" s="45" t="str">
        <x:f t="shared" si="11"/>
        <x:v>FEVEREIRO</x:v>
      </x:c>
      <x:c r="D756" s="24" t="s">
        <x:v>227</x:v>
      </x:c>
      <x:c r="E756" s="24" t="s">
        <x:v>517</x:v>
      </x:c>
      <x:c r="F756" s="24" t="s">
        <x:v>385</x:v>
      </x:c>
      <x:c r="G756" s="44">
        <x:v>-126.6</x:v>
      </x:c>
      <x:c r="H756" s="24" t="s">
        <x:v>82</x:v>
      </x:c>
      <x:c r="I756" s="24" t="s">
        <x:v>311</x:v>
      </x:c>
      <x:c r="J756" s="24" t="s">
        <x:v>516</x:v>
      </x:c>
      <x:c r="K756" s="22" t="s">
        <x:v>11</x:v>
      </x:c>
    </x:row>
    <x:row r="757" hidden="1">
      <x:c r="A757" s="24" t="s">
        <x:v>325</x:v>
      </x:c>
      <x:c r="B757" s="25">
        <x:v>46054</x:v>
      </x:c>
      <x:c r="C757" s="45" t="str">
        <x:f t="shared" si="11"/>
        <x:v>FEVEREIRO</x:v>
      </x:c>
      <x:c r="D757" s="24" t="s">
        <x:v>227</x:v>
      </x:c>
      <x:c r="E757" s="24" t="s">
        <x:v>517</x:v>
      </x:c>
      <x:c r="F757" s="24" t="s">
        <x:v>385</x:v>
      </x:c>
      <x:c r="G757" s="44">
        <x:v>-100</x:v>
      </x:c>
      <x:c r="H757" s="24" t="s">
        <x:v>82</x:v>
      </x:c>
      <x:c r="I757" s="24" t="s">
        <x:v>311</x:v>
      </x:c>
      <x:c r="J757" s="24" t="s">
        <x:v>516</x:v>
      </x:c>
      <x:c r="K757" s="22" t="s">
        <x:v>11</x:v>
      </x:c>
    </x:row>
    <x:row r="758" hidden="1">
      <x:c r="A758" s="24" t="s">
        <x:v>518</x:v>
      </x:c>
      <x:c r="B758" s="25">
        <x:v>46054</x:v>
      </x:c>
      <x:c r="C758" s="45" t="str">
        <x:f t="shared" si="11"/>
        <x:v>FEVEREIRO</x:v>
      </x:c>
      <x:c r="D758" s="24" t="s">
        <x:v>89</x:v>
      </x:c>
      <x:c r="E758" s="24" t="s">
        <x:v>346</x:v>
      </x:c>
      <x:c r="F758" s="24" t="s">
        <x:v>66</x:v>
      </x:c>
      <x:c r="G758" s="44">
        <x:v>10702.6</x:v>
      </x:c>
      <x:c r="H758" s="24" t="s">
        <x:v>91</x:v>
      </x:c>
      <x:c r="I758" s="24" t="s">
        <x:v>311</x:v>
      </x:c>
      <x:c r="J758" s="24" t="s">
        <x:v>516</x:v>
      </x:c>
      <x:c r="K758" s="22" t="s">
        <x:v>11</x:v>
      </x:c>
    </x:row>
    <x:row r="759" hidden="1">
      <x:c r="A759" s="24" t="s">
        <x:v>315</x:v>
      </x:c>
      <x:c r="B759" s="25">
        <x:v>46054</x:v>
      </x:c>
      <x:c r="C759" s="45" t="str">
        <x:f t="shared" si="11"/>
        <x:v>FEVEREIRO</x:v>
      </x:c>
      <x:c r="D759" s="24" t="s">
        <x:v>162</x:v>
      </x:c>
      <x:c r="E759" s="24" t="s">
        <x:v>24</x:v>
      </x:c>
      <x:c r="F759" s="24" t="s">
        <x:v>66</x:v>
      </x:c>
      <x:c r="G759" s="44">
        <x:v>-400</x:v>
      </x:c>
      <x:c r="H759" s="24" t="s">
        <x:v>82</x:v>
      </x:c>
      <x:c r="I759" s="24" t="s">
        <x:v>311</x:v>
      </x:c>
      <x:c r="J759" s="24" t="s">
        <x:v>516</x:v>
      </x:c>
      <x:c r="K759" s="22" t="s">
        <x:v>11</x:v>
      </x:c>
    </x:row>
    <x:row r="760" hidden="1">
      <x:c r="A760" s="24" t="s">
        <x:v>325</x:v>
      </x:c>
      <x:c r="B760" s="25">
        <x:v>46054</x:v>
      </x:c>
      <x:c r="C760" s="45" t="str">
        <x:f t="shared" si="11"/>
        <x:v>FEVEREIRO</x:v>
      </x:c>
      <x:c r="D760" s="24" t="s">
        <x:v>227</x:v>
      </x:c>
      <x:c r="E760" s="24" t="s">
        <x:v>24</x:v>
      </x:c>
      <x:c r="F760" s="24" t="s">
        <x:v>66</x:v>
      </x:c>
      <x:c r="G760" s="44">
        <x:v>-180</x:v>
      </x:c>
      <x:c r="H760" s="24" t="s">
        <x:v>82</x:v>
      </x:c>
      <x:c r="I760" s="24" t="s">
        <x:v>311</x:v>
      </x:c>
      <x:c r="J760" s="23">
        <x:v>46069</x:v>
      </x:c>
      <x:c r="K760" s="22" t="s">
        <x:v>11</x:v>
      </x:c>
    </x:row>
    <x:row r="761" hidden="1">
      <x:c r="A761" s="24" t="s">
        <x:v>309</x:v>
      </x:c>
      <x:c r="B761" s="25">
        <x:v>46054</x:v>
      </x:c>
      <x:c r="C761" s="45" t="str">
        <x:f t="shared" si="11"/>
        <x:v>FEVEREIRO</x:v>
      </x:c>
      <x:c r="D761" s="24" t="s">
        <x:v>227</x:v>
      </x:c>
      <x:c r="E761" s="24" t="s">
        <x:v>24</x:v>
      </x:c>
      <x:c r="F761" s="24" t="s">
        <x:v>66</x:v>
      </x:c>
      <x:c r="G761" s="44">
        <x:v>-200</x:v>
      </x:c>
      <x:c r="H761" s="24" t="s">
        <x:v>82</x:v>
      </x:c>
      <x:c r="I761" s="24" t="s">
        <x:v>311</x:v>
      </x:c>
      <x:c r="J761" s="24" t="s">
        <x:v>516</x:v>
      </x:c>
      <x:c r="K761" s="22" t="s">
        <x:v>11</x:v>
      </x:c>
    </x:row>
    <x:row r="762" hidden="1">
      <x:c r="A762" s="24" t="s">
        <x:v>325</x:v>
      </x:c>
      <x:c r="B762" s="25">
        <x:v>46054</x:v>
      </x:c>
      <x:c r="C762" s="45" t="str">
        <x:f t="shared" si="11"/>
        <x:v>FEVEREIRO</x:v>
      </x:c>
      <x:c r="D762" s="24" t="s">
        <x:v>227</x:v>
      </x:c>
      <x:c r="E762" s="24" t="s">
        <x:v>24</x:v>
      </x:c>
      <x:c r="F762" s="24" t="s">
        <x:v>66</x:v>
      </x:c>
      <x:c r="G762" s="44">
        <x:v>-180</x:v>
      </x:c>
      <x:c r="H762" s="24" t="s">
        <x:v>82</x:v>
      </x:c>
      <x:c r="I762" s="24" t="s">
        <x:v>311</x:v>
      </x:c>
      <x:c r="J762" s="24" t="s">
        <x:v>516</x:v>
      </x:c>
      <x:c r="K762" s="22" t="s">
        <x:v>11</x:v>
      </x:c>
    </x:row>
    <x:row r="763" hidden="1">
      <x:c r="A763" s="24" t="s">
        <x:v>519</x:v>
      </x:c>
      <x:c r="B763" s="25">
        <x:v>46054</x:v>
      </x:c>
      <x:c r="C763" s="45" t="str">
        <x:f t="shared" si="11"/>
        <x:v>FEVEREIRO</x:v>
      </x:c>
      <x:c r="D763" s="24" t="s">
        <x:v>89</x:v>
      </x:c>
      <x:c r="E763" s="24" t="s">
        <x:v>359</x:v>
      </x:c>
      <x:c r="F763" s="24" t="s">
        <x:v>59</x:v>
      </x:c>
      <x:c r="G763" s="44">
        <x:v>11968.2</x:v>
      </x:c>
      <x:c r="H763" s="24" t="s">
        <x:v>91</x:v>
      </x:c>
      <x:c r="I763" s="24" t="s">
        <x:v>311</x:v>
      </x:c>
      <x:c r="J763" s="24" t="s">
        <x:v>520</x:v>
      </x:c>
      <x:c r="K763" s="22" t="s">
        <x:v>11</x:v>
      </x:c>
    </x:row>
    <x:row r="764" hidden="1">
      <x:c r="A764" s="24" t="s">
        <x:v>315</x:v>
      </x:c>
      <x:c r="B764" s="25">
        <x:v>46054</x:v>
      </x:c>
      <x:c r="C764" s="45" t="str">
        <x:f t="shared" si="11"/>
        <x:v>FEVEREIRO</x:v>
      </x:c>
      <x:c r="D764" s="24" t="s">
        <x:v>162</x:v>
      </x:c>
      <x:c r="E764" s="24" t="s">
        <x:v>13</x:v>
      </x:c>
      <x:c r="F764" s="24" t="s">
        <x:v>59</x:v>
      </x:c>
      <x:c r="G764" s="44">
        <x:v>-400</x:v>
      </x:c>
      <x:c r="H764" s="24" t="s">
        <x:v>82</x:v>
      </x:c>
      <x:c r="I764" s="24" t="s">
        <x:v>311</x:v>
      </x:c>
      <x:c r="J764" s="24" t="s">
        <x:v>520</x:v>
      </x:c>
      <x:c r="K764" s="22" t="s">
        <x:v>11</x:v>
      </x:c>
    </x:row>
    <x:row r="765" hidden="1">
      <x:c r="A765" s="24" t="s">
        <x:v>315</x:v>
      </x:c>
      <x:c r="B765" s="25">
        <x:v>46054</x:v>
      </x:c>
      <x:c r="C765" s="45" t="str">
        <x:f t="shared" si="11"/>
        <x:v>FEVEREIRO</x:v>
      </x:c>
      <x:c r="D765" s="24" t="s">
        <x:v>162</x:v>
      </x:c>
      <x:c r="E765" s="24" t="s">
        <x:v>23</x:v>
      </x:c>
      <x:c r="F765" s="24" t="s">
        <x:v>65</x:v>
      </x:c>
      <x:c r="G765" s="44">
        <x:v>-400</x:v>
      </x:c>
      <x:c r="H765" s="24" t="s">
        <x:v>82</x:v>
      </x:c>
      <x:c r="I765" s="24" t="s">
        <x:v>311</x:v>
      </x:c>
      <x:c r="J765" s="24" t="s">
        <x:v>520</x:v>
      </x:c>
      <x:c r="K765" s="22" t="s">
        <x:v>11</x:v>
      </x:c>
    </x:row>
    <x:row r="766" hidden="1">
      <x:c r="A766" s="24" t="s">
        <x:v>521</x:v>
      </x:c>
      <x:c r="B766" s="25">
        <x:v>46054</x:v>
      </x:c>
      <x:c r="C766" s="45" t="str">
        <x:f t="shared" si="11"/>
        <x:v>FEVEREIRO</x:v>
      </x:c>
      <x:c r="D766" s="24" t="s">
        <x:v>89</x:v>
      </x:c>
      <x:c r="E766" s="24" t="s">
        <x:v>522</x:v>
      </x:c>
      <x:c r="F766" s="24" t="s">
        <x:v>65</x:v>
      </x:c>
      <x:c r="G766" s="44">
        <x:v>9384.9</x:v>
      </x:c>
      <x:c r="H766" s="24" t="s">
        <x:v>91</x:v>
      </x:c>
      <x:c r="I766" s="24" t="s">
        <x:v>311</x:v>
      </x:c>
      <x:c r="J766" s="24" t="s">
        <x:v>520</x:v>
      </x:c>
      <x:c r="K766" s="22" t="s">
        <x:v>11</x:v>
      </x:c>
    </x:row>
    <x:row r="767" hidden="1">
      <x:c r="A767" s="24" t="s">
        <x:v>337</x:v>
      </x:c>
      <x:c r="B767" s="25">
        <x:v>46054</x:v>
      </x:c>
      <x:c r="C767" s="45" t="str">
        <x:f t="shared" si="11"/>
        <x:v>FEVEREIRO</x:v>
      </x:c>
      <x:c r="D767" s="24" t="s">
        <x:v>227</x:v>
      </x:c>
      <x:c r="E767" s="24" t="s">
        <x:v>511</x:v>
      </x:c>
      <x:c r="F767" s="24" t="s">
        <x:v>44</x:v>
      </x:c>
      <x:c r="G767" s="44">
        <x:v>-1813.36</x:v>
      </x:c>
      <x:c r="H767" s="24" t="s">
        <x:v>82</x:v>
      </x:c>
      <x:c r="I767" s="24" t="s">
        <x:v>311</x:v>
      </x:c>
      <x:c r="J767" s="24" t="s">
        <x:v>523</x:v>
      </x:c>
      <x:c r="K767" s="22" t="s">
        <x:v>11</x:v>
      </x:c>
    </x:row>
    <x:row r="768" hidden="1">
      <x:c r="A768" s="24" t="s">
        <x:v>335</x:v>
      </x:c>
      <x:c r="B768" s="25">
        <x:v>46054</x:v>
      </x:c>
      <x:c r="C768" s="45" t="str">
        <x:f t="shared" si="11"/>
        <x:v>FEVEREIRO</x:v>
      </x:c>
      <x:c r="D768" s="24" t="s">
        <x:v>132</x:v>
      </x:c>
      <x:c r="E768" s="24" t="s">
        <x:v>336</x:v>
      </x:c>
      <x:c r="F768" s="24" t="s">
        <x:v>44</x:v>
      </x:c>
      <x:c r="G768" s="44">
        <x:v>-2487.63</x:v>
      </x:c>
      <x:c r="H768" s="24" t="s">
        <x:v>82</x:v>
      </x:c>
      <x:c r="I768" s="24" t="s">
        <x:v>311</x:v>
      </x:c>
      <x:c r="J768" s="24" t="s">
        <x:v>523</x:v>
      </x:c>
      <x:c r="K768" s="22" t="s">
        <x:v>11</x:v>
      </x:c>
    </x:row>
    <x:row r="769" hidden="1">
      <x:c r="A769" s="24" t="s">
        <x:v>439</x:v>
      </x:c>
      <x:c r="B769" s="25">
        <x:v>46054</x:v>
      </x:c>
      <x:c r="C769" s="45" t="str">
        <x:f t="shared" si="11"/>
        <x:v>FEVEREIRO</x:v>
      </x:c>
      <x:c r="D769" s="24" t="s">
        <x:v>227</x:v>
      </x:c>
      <x:c r="E769" s="24" t="s">
        <x:v>511</x:v>
      </x:c>
      <x:c r="F769" s="24" t="s">
        <x:v>314</x:v>
      </x:c>
      <x:c r="G769" s="44">
        <x:v>-275</x:v>
      </x:c>
      <x:c r="H769" s="24" t="s">
        <x:v>82</x:v>
      </x:c>
      <x:c r="I769" s="24" t="s">
        <x:v>311</x:v>
      </x:c>
      <x:c r="J769" s="24" t="s">
        <x:v>523</x:v>
      </x:c>
      <x:c r="K769" s="22" t="s">
        <x:v>11</x:v>
      </x:c>
    </x:row>
    <x:row r="770" hidden="1">
      <x:c r="A770" s="24" t="s">
        <x:v>325</x:v>
      </x:c>
      <x:c r="B770" s="25">
        <x:v>46054</x:v>
      </x:c>
      <x:c r="C770" s="45" t="str">
        <x:f t="shared" ref="C770:C833" si="12">UPPER(TEXT(B770,"MMMM"))</x:f>
        <x:v>FEBRUARY</x:v>
      </x:c>
      <x:c r="D770" s="24" t="s">
        <x:v>227</x:v>
      </x:c>
      <x:c r="E770" s="24" t="s">
        <x:v>511</x:v>
      </x:c>
      <x:c r="F770" s="24" t="s">
        <x:v>385</x:v>
      </x:c>
      <x:c r="G770" s="44">
        <x:v>-1488.14</x:v>
      </x:c>
      <x:c r="H770" s="24" t="s">
        <x:v>82</x:v>
      </x:c>
      <x:c r="I770" s="24" t="s">
        <x:v>311</x:v>
      </x:c>
      <x:c r="J770" s="27" t="s">
        <x:v>523</x:v>
      </x:c>
      <x:c r="K770" s="22" t="s">
        <x:v>11</x:v>
      </x:c>
    </x:row>
    <x:row r="771" hidden="1">
      <x:c r="A771" s="24" t="s">
        <x:v>357</x:v>
      </x:c>
      <x:c r="B771" s="25">
        <x:v>46054</x:v>
      </x:c>
      <x:c r="C771" s="45" t="str">
        <x:f t="shared" si="12"/>
        <x:v>FEVEREIRO</x:v>
      </x:c>
      <x:c r="D771" s="24" t="s">
        <x:v>227</x:v>
      </x:c>
      <x:c r="E771" s="24" t="s">
        <x:v>388</x:v>
      </x:c>
      <x:c r="F771" s="24" t="s">
        <x:v>314</x:v>
      </x:c>
      <x:c r="G771" s="44">
        <x:v>-1059.3</x:v>
      </x:c>
      <x:c r="H771" s="24" t="s">
        <x:v>82</x:v>
      </x:c>
      <x:c r="I771" s="24" t="s">
        <x:v>311</x:v>
      </x:c>
      <x:c r="J771" s="24" t="s">
        <x:v>523</x:v>
      </x:c>
      <x:c r="K771" s="22" t="s">
        <x:v>11</x:v>
      </x:c>
    </x:row>
    <x:row r="772" hidden="1">
      <x:c r="A772" s="24" t="s">
        <x:v>325</x:v>
      </x:c>
      <x:c r="B772" s="25">
        <x:v>46054</x:v>
      </x:c>
      <x:c r="C772" s="45" t="str">
        <x:f t="shared" si="12"/>
        <x:v>FEVEREIRO</x:v>
      </x:c>
      <x:c r="D772" s="24" t="s">
        <x:v>227</x:v>
      </x:c>
      <x:c r="E772" s="24" t="s">
        <x:v>388</x:v>
      </x:c>
      <x:c r="F772" s="24" t="s">
        <x:v>314</x:v>
      </x:c>
      <x:c r="G772" s="44">
        <x:v>-461.01</x:v>
      </x:c>
      <x:c r="H772" s="24" t="s">
        <x:v>82</x:v>
      </x:c>
      <x:c r="I772" s="24" t="s">
        <x:v>311</x:v>
      </x:c>
      <x:c r="J772" s="24" t="s">
        <x:v>523</x:v>
      </x:c>
      <x:c r="K772" s="22" t="s">
        <x:v>11</x:v>
      </x:c>
    </x:row>
    <x:row r="773" hidden="1">
      <x:c r="A773" s="24" t="s">
        <x:v>357</x:v>
      </x:c>
      <x:c r="B773" s="25">
        <x:v>46054</x:v>
      </x:c>
      <x:c r="C773" s="45" t="str">
        <x:f t="shared" si="12"/>
        <x:v>FEVEREIRO</x:v>
      </x:c>
      <x:c r="D773" s="24" t="s">
        <x:v>227</x:v>
      </x:c>
      <x:c r="E773" s="24" t="s">
        <x:v>440</x:v>
      </x:c>
      <x:c r="F773" s="24" t="s">
        <x:v>385</x:v>
      </x:c>
      <x:c r="G773" s="44">
        <x:v>-150</x:v>
      </x:c>
      <x:c r="H773" s="24" t="s">
        <x:v>82</x:v>
      </x:c>
      <x:c r="I773" s="24" t="s">
        <x:v>311</x:v>
      </x:c>
      <x:c r="J773" s="24" t="s">
        <x:v>523</x:v>
      </x:c>
      <x:c r="K773" s="22" t="s">
        <x:v>11</x:v>
      </x:c>
    </x:row>
    <x:row r="774" hidden="1">
      <x:c r="A774" s="24" t="s">
        <x:v>325</x:v>
      </x:c>
      <x:c r="B774" s="25">
        <x:v>46054</x:v>
      </x:c>
      <x:c r="C774" s="45" t="str">
        <x:f t="shared" si="12"/>
        <x:v>FEVEREIRO</x:v>
      </x:c>
      <x:c r="D774" s="24" t="s">
        <x:v>227</x:v>
      </x:c>
      <x:c r="E774" s="24" t="s">
        <x:v>524</x:v>
      </x:c>
      <x:c r="F774" s="24" t="s">
        <x:v>314</x:v>
      </x:c>
      <x:c r="G774" s="44">
        <x:v>-700</x:v>
      </x:c>
      <x:c r="H774" s="24" t="s">
        <x:v>82</x:v>
      </x:c>
      <x:c r="I774" s="24" t="s">
        <x:v>311</x:v>
      </x:c>
      <x:c r="J774" s="24" t="s">
        <x:v>523</x:v>
      </x:c>
      <x:c r="K774" s="22" t="s">
        <x:v>11</x:v>
      </x:c>
    </x:row>
    <x:row r="775" hidden="1">
      <x:c r="A775" s="24" t="s">
        <x:v>525</x:v>
      </x:c>
      <x:c r="B775" s="25">
        <x:v>46054</x:v>
      </x:c>
      <x:c r="C775" s="45" t="str">
        <x:f t="shared" si="12"/>
        <x:v>FEVEREIRO</x:v>
      </x:c>
      <x:c r="D775" s="24" t="s">
        <x:v>89</x:v>
      </x:c>
      <x:c r="E775" s="24" t="s">
        <x:v>526</x:v>
      </x:c>
      <x:c r="F775" s="24" t="s">
        <x:v>66</x:v>
      </x:c>
      <x:c r="G775" s="44">
        <x:v>9820.9</x:v>
      </x:c>
      <x:c r="H775" s="24" t="s">
        <x:v>91</x:v>
      </x:c>
      <x:c r="I775" s="24" t="s">
        <x:v>311</x:v>
      </x:c>
      <x:c r="J775" s="24" t="s">
        <x:v>523</x:v>
      </x:c>
      <x:c r="K775" s="22" t="s">
        <x:v>11</x:v>
      </x:c>
    </x:row>
    <x:row r="776" hidden="1">
      <x:c r="A776" s="24" t="s">
        <x:v>315</x:v>
      </x:c>
      <x:c r="B776" s="25">
        <x:v>46054</x:v>
      </x:c>
      <x:c r="C776" s="45" t="str">
        <x:f t="shared" si="12"/>
        <x:v>FEVEREIRO</x:v>
      </x:c>
      <x:c r="D776" s="24" t="s">
        <x:v>162</x:v>
      </x:c>
      <x:c r="E776" s="24" t="s">
        <x:v>24</x:v>
      </x:c>
      <x:c r="F776" s="24" t="s">
        <x:v>66</x:v>
      </x:c>
      <x:c r="G776" s="44">
        <x:v>-400</x:v>
      </x:c>
      <x:c r="H776" s="24" t="s">
        <x:v>82</x:v>
      </x:c>
      <x:c r="I776" s="24" t="s">
        <x:v>311</x:v>
      </x:c>
      <x:c r="J776" s="24" t="s">
        <x:v>523</x:v>
      </x:c>
      <x:c r="K776" s="22" t="s">
        <x:v>11</x:v>
      </x:c>
    </x:row>
    <x:row r="777" hidden="1">
      <x:c r="A777" s="24" t="s">
        <x:v>315</x:v>
      </x:c>
      <x:c r="B777" s="25">
        <x:v>46054</x:v>
      </x:c>
      <x:c r="C777" s="45" t="str">
        <x:f t="shared" si="12"/>
        <x:v>FEVEREIRO</x:v>
      </x:c>
      <x:c r="D777" s="24" t="s">
        <x:v>162</x:v>
      </x:c>
      <x:c r="E777" s="24" t="s">
        <x:v>23</x:v>
      </x:c>
      <x:c r="F777" s="24" t="s">
        <x:v>65</x:v>
      </x:c>
      <x:c r="G777" s="44">
        <x:v>-400</x:v>
      </x:c>
      <x:c r="H777" s="24" t="s">
        <x:v>82</x:v>
      </x:c>
      <x:c r="I777" s="24" t="s">
        <x:v>311</x:v>
      </x:c>
      <x:c r="J777" s="24" t="s">
        <x:v>527</x:v>
      </x:c>
      <x:c r="K777" s="22" t="s">
        <x:v>11</x:v>
      </x:c>
    </x:row>
    <x:row r="778" hidden="1">
      <x:c r="A778" s="24" t="s">
        <x:v>528</x:v>
      </x:c>
      <x:c r="B778" s="25">
        <x:v>46054</x:v>
      </x:c>
      <x:c r="C778" s="45" t="str">
        <x:f t="shared" si="12"/>
        <x:v>FEVEREIRO</x:v>
      </x:c>
      <x:c r="D778" s="24" t="s">
        <x:v>89</x:v>
      </x:c>
      <x:c r="E778" s="24" t="s">
        <x:v>344</x:v>
      </x:c>
      <x:c r="F778" s="24" t="s">
        <x:v>65</x:v>
      </x:c>
      <x:c r="G778" s="44">
        <x:v>9733.7000000000007</x:v>
      </x:c>
      <x:c r="H778" s="24" t="s">
        <x:v>91</x:v>
      </x:c>
      <x:c r="I778" s="24" t="s">
        <x:v>311</x:v>
      </x:c>
      <x:c r="J778" s="24" t="s">
        <x:v>527</x:v>
      </x:c>
      <x:c r="K778" s="22" t="s">
        <x:v>11</x:v>
      </x:c>
    </x:row>
    <x:row r="779" hidden="1">
      <x:c r="A779" s="24" t="s">
        <x:v>337</x:v>
      </x:c>
      <x:c r="B779" s="25">
        <x:v>46054</x:v>
      </x:c>
      <x:c r="C779" s="45" t="str">
        <x:f t="shared" si="12"/>
        <x:v>FEVEREIRO</x:v>
      </x:c>
      <x:c r="D779" s="24" t="s">
        <x:v>227</x:v>
      </x:c>
      <x:c r="E779" s="24" t="s">
        <x:v>338</x:v>
      </x:c>
      <x:c r="F779" s="24" t="s">
        <x:v>44</x:v>
      </x:c>
      <x:c r="G779" s="44">
        <x:v>-1796.02</x:v>
      </x:c>
      <x:c r="H779" s="24" t="s">
        <x:v>82</x:v>
      </x:c>
      <x:c r="I779" s="24" t="s">
        <x:v>311</x:v>
      </x:c>
      <x:c r="J779" s="24" t="s">
        <x:v>529</x:v>
      </x:c>
      <x:c r="K779" s="22" t="s">
        <x:v>11</x:v>
      </x:c>
    </x:row>
    <x:row r="780" hidden="1">
      <x:c r="A780" s="24" t="s">
        <x:v>530</x:v>
      </x:c>
      <x:c r="B780" s="25">
        <x:v>46054</x:v>
      </x:c>
      <x:c r="C780" s="45" t="str">
        <x:f t="shared" si="12"/>
        <x:v>FEVEREIRO</x:v>
      </x:c>
      <x:c r="D780" s="24" t="s">
        <x:v>89</x:v>
      </x:c>
      <x:c r="E780" s="24" t="s">
        <x:v>374</x:v>
      </x:c>
      <x:c r="F780" s="24" t="s">
        <x:v>59</x:v>
      </x:c>
      <x:c r="G780" s="44">
        <x:v>12044.5</x:v>
      </x:c>
      <x:c r="H780" s="24" t="s">
        <x:v>91</x:v>
      </x:c>
      <x:c r="I780" s="24" t="s">
        <x:v>311</x:v>
      </x:c>
      <x:c r="J780" s="24" t="s">
        <x:v>529</x:v>
      </x:c>
      <x:c r="K780" s="22" t="s">
        <x:v>11</x:v>
      </x:c>
    </x:row>
    <x:row r="781" hidden="1">
      <x:c r="A781" s="24" t="s">
        <x:v>315</x:v>
      </x:c>
      <x:c r="B781" s="25">
        <x:v>46054</x:v>
      </x:c>
      <x:c r="C781" s="45" t="str">
        <x:f t="shared" si="12"/>
        <x:v>FEVEREIRO</x:v>
      </x:c>
      <x:c r="D781" s="24" t="s">
        <x:v>162</x:v>
      </x:c>
      <x:c r="E781" s="24" t="s">
        <x:v>13</x:v>
      </x:c>
      <x:c r="F781" s="24" t="s">
        <x:v>59</x:v>
      </x:c>
      <x:c r="G781" s="44">
        <x:v>-400</x:v>
      </x:c>
      <x:c r="H781" s="24" t="s">
        <x:v>82</x:v>
      </x:c>
      <x:c r="I781" s="24" t="s">
        <x:v>311</x:v>
      </x:c>
      <x:c r="J781" s="24" t="s">
        <x:v>529</x:v>
      </x:c>
      <x:c r="K781" s="22" t="s">
        <x:v>11</x:v>
      </x:c>
    </x:row>
    <x:row r="782" hidden="1">
      <x:c r="A782" s="24" t="s">
        <x:v>531</x:v>
      </x:c>
      <x:c r="B782" s="25">
        <x:v>46054</x:v>
      </x:c>
      <x:c r="C782" s="45" t="str">
        <x:f t="shared" si="12"/>
        <x:v>FEVEREIRO</x:v>
      </x:c>
      <x:c r="D782" s="24" t="s">
        <x:v>89</x:v>
      </x:c>
      <x:c r="E782" s="24" t="s">
        <x:v>486</x:v>
      </x:c>
      <x:c r="F782" s="24" t="s">
        <x:v>314</x:v>
      </x:c>
      <x:c r="G782" s="44">
        <x:v>14006.5</x:v>
      </x:c>
      <x:c r="H782" s="24" t="s">
        <x:v>91</x:v>
      </x:c>
      <x:c r="I782" s="24" t="s">
        <x:v>311</x:v>
      </x:c>
      <x:c r="J782" s="24" t="s">
        <x:v>529</x:v>
      </x:c>
      <x:c r="K782" s="22" t="s">
        <x:v>11</x:v>
      </x:c>
    </x:row>
    <x:row r="783" hidden="1">
      <x:c r="A783" s="24" t="s">
        <x:v>315</x:v>
      </x:c>
      <x:c r="B783" s="25">
        <x:v>46054</x:v>
      </x:c>
      <x:c r="C783" s="45" t="str">
        <x:f t="shared" si="12"/>
        <x:v>FEVEREIRO</x:v>
      </x:c>
      <x:c r="D783" s="24" t="s">
        <x:v>162</x:v>
      </x:c>
      <x:c r="E783" s="24" t="s">
        <x:v>10</x:v>
      </x:c>
      <x:c r="F783" s="24" t="s">
        <x:v>314</x:v>
      </x:c>
      <x:c r="G783" s="44">
        <x:v>-400</x:v>
      </x:c>
      <x:c r="H783" s="24" t="s">
        <x:v>82</x:v>
      </x:c>
      <x:c r="I783" s="24" t="s">
        <x:v>311</x:v>
      </x:c>
      <x:c r="J783" s="24" t="s">
        <x:v>529</x:v>
      </x:c>
      <x:c r="K783" s="22" t="s">
        <x:v>11</x:v>
      </x:c>
    </x:row>
    <x:row r="784" hidden="1">
      <x:c r="A784" s="24" t="s">
        <x:v>335</x:v>
      </x:c>
      <x:c r="B784" s="25">
        <x:v>46054</x:v>
      </x:c>
      <x:c r="C784" s="45" t="str">
        <x:f t="shared" si="12"/>
        <x:v>FEVEREIRO</x:v>
      </x:c>
      <x:c r="D784" s="24" t="s">
        <x:v>132</x:v>
      </x:c>
      <x:c r="E784" s="24" t="s">
        <x:v>336</x:v>
      </x:c>
      <x:c r="F784" s="24" t="s">
        <x:v>66</x:v>
      </x:c>
      <x:c r="G784" s="44">
        <x:v>-2397.87</x:v>
      </x:c>
      <x:c r="H784" s="24" t="s">
        <x:v>82</x:v>
      </x:c>
      <x:c r="I784" s="24" t="s">
        <x:v>311</x:v>
      </x:c>
      <x:c r="J784" s="24" t="s">
        <x:v>532</x:v>
      </x:c>
      <x:c r="K784" s="22" t="s">
        <x:v>11</x:v>
      </x:c>
    </x:row>
    <x:row r="785" hidden="1">
      <x:c r="A785" s="24" t="s">
        <x:v>423</x:v>
      </x:c>
      <x:c r="B785" s="25">
        <x:v>46054</x:v>
      </x:c>
      <x:c r="C785" s="45" t="str">
        <x:f t="shared" si="12"/>
        <x:v>FEVEREIRO</x:v>
      </x:c>
      <x:c r="D785" s="24" t="s">
        <x:v>201</x:v>
      </x:c>
      <x:c r="E785" s="24" t="s">
        <x:v>424</x:v>
      </x:c>
      <x:c r="F785" s="24" t="s">
        <x:v>314</x:v>
      </x:c>
      <x:c r="G785" s="44">
        <x:v>-2191.614</x:v>
      </x:c>
      <x:c r="H785" s="24" t="s">
        <x:v>82</x:v>
      </x:c>
      <x:c r="I785" s="24" t="s">
        <x:v>311</x:v>
      </x:c>
      <x:c r="J785" s="24" t="s">
        <x:v>532</x:v>
      </x:c>
      <x:c r="K785" s="22" t="s">
        <x:v>11</x:v>
      </x:c>
    </x:row>
    <x:row r="786" hidden="1">
      <x:c r="A786" s="24" t="s">
        <x:v>423</x:v>
      </x:c>
      <x:c r="B786" s="25">
        <x:v>46054</x:v>
      </x:c>
      <x:c r="C786" s="45" t="str">
        <x:f t="shared" si="12"/>
        <x:v>FEVEREIRO</x:v>
      </x:c>
      <x:c r="D786" s="24" t="s">
        <x:v>201</x:v>
      </x:c>
      <x:c r="E786" s="24" t="s">
        <x:v>424</x:v>
      </x:c>
      <x:c r="F786" s="24" t="s">
        <x:v>59</x:v>
      </x:c>
      <x:c r="G786" s="44">
        <x:v>-2191.614</x:v>
      </x:c>
      <x:c r="H786" s="24" t="s">
        <x:v>82</x:v>
      </x:c>
      <x:c r="I786" s="24" t="s">
        <x:v>311</x:v>
      </x:c>
      <x:c r="J786" s="24" t="s">
        <x:v>532</x:v>
      </x:c>
      <x:c r="K786" s="22" t="s">
        <x:v>11</x:v>
      </x:c>
    </x:row>
    <x:row r="787" hidden="1">
      <x:c r="A787" s="24" t="s">
        <x:v>423</x:v>
      </x:c>
      <x:c r="B787" s="25">
        <x:v>46054</x:v>
      </x:c>
      <x:c r="C787" s="45" t="str">
        <x:f t="shared" si="12"/>
        <x:v>FEVEREIRO</x:v>
      </x:c>
      <x:c r="D787" s="24" t="s">
        <x:v>201</x:v>
      </x:c>
      <x:c r="E787" s="24" t="s">
        <x:v>424</x:v>
      </x:c>
      <x:c r="F787" s="24" t="s">
        <x:v>481</x:v>
      </x:c>
      <x:c r="G787" s="44">
        <x:v>-2191.614</x:v>
      </x:c>
      <x:c r="H787" s="24" t="s">
        <x:v>82</x:v>
      </x:c>
      <x:c r="I787" s="24" t="s">
        <x:v>311</x:v>
      </x:c>
      <x:c r="J787" s="24" t="s">
        <x:v>532</x:v>
      </x:c>
      <x:c r="K787" s="22" t="s">
        <x:v>11</x:v>
      </x:c>
    </x:row>
    <x:row r="788" hidden="1">
      <x:c r="A788" s="24" t="s">
        <x:v>423</x:v>
      </x:c>
      <x:c r="B788" s="25">
        <x:v>46054</x:v>
      </x:c>
      <x:c r="C788" s="45" t="str">
        <x:f t="shared" si="12"/>
        <x:v>FEVEREIRO</x:v>
      </x:c>
      <x:c r="D788" s="24" t="s">
        <x:v>201</x:v>
      </x:c>
      <x:c r="E788" s="24" t="s">
        <x:v>424</x:v>
      </x:c>
      <x:c r="F788" s="24" t="s">
        <x:v>66</x:v>
      </x:c>
      <x:c r="G788" s="44">
        <x:v>-2191.614</x:v>
      </x:c>
      <x:c r="H788" s="24" t="s">
        <x:v>82</x:v>
      </x:c>
      <x:c r="I788" s="24" t="s">
        <x:v>311</x:v>
      </x:c>
      <x:c r="J788" s="24" t="s">
        <x:v>532</x:v>
      </x:c>
      <x:c r="K788" s="22" t="s">
        <x:v>11</x:v>
      </x:c>
    </x:row>
    <x:row r="789" hidden="1">
      <x:c r="A789" s="24" t="s">
        <x:v>423</x:v>
      </x:c>
      <x:c r="B789" s="25">
        <x:v>46054</x:v>
      </x:c>
      <x:c r="C789" s="45" t="str">
        <x:f t="shared" si="12"/>
        <x:v>FEVEREIRO</x:v>
      </x:c>
      <x:c r="D789" s="24" t="s">
        <x:v>201</x:v>
      </x:c>
      <x:c r="E789" s="24" t="s">
        <x:v>424</x:v>
      </x:c>
      <x:c r="F789" s="24" t="s">
        <x:v>65</x:v>
      </x:c>
      <x:c r="G789" s="44">
        <x:v>-2191.614</x:v>
      </x:c>
      <x:c r="H789" s="24" t="s">
        <x:v>82</x:v>
      </x:c>
      <x:c r="I789" s="24" t="s">
        <x:v>311</x:v>
      </x:c>
      <x:c r="J789" s="24" t="s">
        <x:v>532</x:v>
      </x:c>
      <x:c r="K789" s="22" t="s">
        <x:v>11</x:v>
      </x:c>
    </x:row>
    <x:row r="790" hidden="1">
      <x:c r="A790" s="24" t="s">
        <x:v>309</x:v>
      </x:c>
      <x:c r="B790" s="25">
        <x:v>46054</x:v>
      </x:c>
      <x:c r="C790" s="45" t="str">
        <x:f t="shared" si="12"/>
        <x:v>FEVEREIRO</x:v>
      </x:c>
      <x:c r="D790" s="24" t="s">
        <x:v>227</x:v>
      </x:c>
      <x:c r="E790" s="24" t="s">
        <x:v>490</x:v>
      </x:c>
      <x:c r="F790" s="24" t="s">
        <x:v>314</x:v>
      </x:c>
      <x:c r="G790" s="44">
        <x:v>-2930.0340000000001</x:v>
      </x:c>
      <x:c r="H790" s="24" t="s">
        <x:v>82</x:v>
      </x:c>
      <x:c r="I790" s="24" t="s">
        <x:v>311</x:v>
      </x:c>
      <x:c r="J790" s="24" t="s">
        <x:v>532</x:v>
      </x:c>
      <x:c r="K790" s="22" t="s">
        <x:v>11</x:v>
      </x:c>
    </x:row>
    <x:row r="791" hidden="1">
      <x:c r="A791" s="24" t="s">
        <x:v>309</x:v>
      </x:c>
      <x:c r="B791" s="25">
        <x:v>46054</x:v>
      </x:c>
      <x:c r="C791" s="45" t="str">
        <x:f t="shared" si="12"/>
        <x:v>FEVEREIRO</x:v>
      </x:c>
      <x:c r="D791" s="24" t="s">
        <x:v>227</x:v>
      </x:c>
      <x:c r="E791" s="24" t="s">
        <x:v>490</x:v>
      </x:c>
      <x:c r="F791" s="24" t="s">
        <x:v>44</x:v>
      </x:c>
      <x:c r="G791" s="44">
        <x:v>-2930.0340000000001</x:v>
      </x:c>
      <x:c r="H791" s="24" t="s">
        <x:v>82</x:v>
      </x:c>
      <x:c r="I791" s="24" t="s">
        <x:v>311</x:v>
      </x:c>
      <x:c r="J791" s="24" t="s">
        <x:v>532</x:v>
      </x:c>
      <x:c r="K791" s="22" t="s">
        <x:v>11</x:v>
      </x:c>
    </x:row>
    <x:row r="792" hidden="1">
      <x:c r="A792" s="24" t="s">
        <x:v>309</x:v>
      </x:c>
      <x:c r="B792" s="25">
        <x:v>46054</x:v>
      </x:c>
      <x:c r="C792" s="45" t="str">
        <x:f t="shared" si="12"/>
        <x:v>FEVEREIRO</x:v>
      </x:c>
      <x:c r="D792" s="24" t="s">
        <x:v>227</x:v>
      </x:c>
      <x:c r="E792" s="24" t="s">
        <x:v>490</x:v>
      </x:c>
      <x:c r="F792" s="24" t="s">
        <x:v>59</x:v>
      </x:c>
      <x:c r="G792" s="44">
        <x:v>-2930.0340000000001</x:v>
      </x:c>
      <x:c r="H792" s="24" t="s">
        <x:v>82</x:v>
      </x:c>
      <x:c r="I792" s="24" t="s">
        <x:v>311</x:v>
      </x:c>
      <x:c r="J792" s="24" t="s">
        <x:v>532</x:v>
      </x:c>
      <x:c r="K792" s="22" t="s">
        <x:v>11</x:v>
      </x:c>
    </x:row>
    <x:row r="793" hidden="1">
      <x:c r="A793" s="24" t="s">
        <x:v>309</x:v>
      </x:c>
      <x:c r="B793" s="25">
        <x:v>46054</x:v>
      </x:c>
      <x:c r="C793" s="45" t="str">
        <x:f t="shared" si="12"/>
        <x:v>FEVEREIRO</x:v>
      </x:c>
      <x:c r="D793" s="24" t="s">
        <x:v>227</x:v>
      </x:c>
      <x:c r="E793" s="24" t="s">
        <x:v>490</x:v>
      </x:c>
      <x:c r="F793" s="24" t="s">
        <x:v>66</x:v>
      </x:c>
      <x:c r="G793" s="44">
        <x:v>-2930.0340000000001</x:v>
      </x:c>
      <x:c r="H793" s="24" t="s">
        <x:v>82</x:v>
      </x:c>
      <x:c r="I793" s="24" t="s">
        <x:v>311</x:v>
      </x:c>
      <x:c r="J793" s="24" t="s">
        <x:v>532</x:v>
      </x:c>
      <x:c r="K793" s="22" t="s">
        <x:v>11</x:v>
      </x:c>
    </x:row>
    <x:row r="794" hidden="1">
      <x:c r="A794" s="24" t="s">
        <x:v>309</x:v>
      </x:c>
      <x:c r="B794" s="25">
        <x:v>46054</x:v>
      </x:c>
      <x:c r="C794" s="45" t="str">
        <x:f t="shared" si="12"/>
        <x:v>FEVEREIRO</x:v>
      </x:c>
      <x:c r="D794" s="24" t="s">
        <x:v>227</x:v>
      </x:c>
      <x:c r="E794" s="24" t="s">
        <x:v>490</x:v>
      </x:c>
      <x:c r="F794" s="24" t="s">
        <x:v>65</x:v>
      </x:c>
      <x:c r="G794" s="44">
        <x:v>-2930.0340000000001</x:v>
      </x:c>
      <x:c r="H794" s="24" t="s">
        <x:v>82</x:v>
      </x:c>
      <x:c r="I794" s="24" t="s">
        <x:v>311</x:v>
      </x:c>
      <x:c r="J794" s="24" t="s">
        <x:v>532</x:v>
      </x:c>
      <x:c r="K794" s="22" t="s">
        <x:v>11</x:v>
      </x:c>
    </x:row>
    <x:row r="795" hidden="1">
      <x:c r="A795" s="24" t="s">
        <x:v>315</x:v>
      </x:c>
      <x:c r="B795" s="25">
        <x:v>46054</x:v>
      </x:c>
      <x:c r="C795" s="45" t="str">
        <x:f t="shared" si="12"/>
        <x:v>FEVEREIRO</x:v>
      </x:c>
      <x:c r="D795" s="24" t="s">
        <x:v>162</x:v>
      </x:c>
      <x:c r="E795" s="24" t="s">
        <x:v>317</x:v>
      </x:c>
      <x:c r="F795" s="24" t="s">
        <x:v>44</x:v>
      </x:c>
      <x:c r="G795" s="44">
        <x:v>-400</x:v>
      </x:c>
      <x:c r="H795" s="24" t="s">
        <x:v>82</x:v>
      </x:c>
      <x:c r="I795" s="24" t="s">
        <x:v>311</x:v>
      </x:c>
      <x:c r="J795" s="24" t="s">
        <x:v>532</x:v>
      </x:c>
      <x:c r="K795" s="22" t="s">
        <x:v>11</x:v>
      </x:c>
    </x:row>
    <x:row r="796" hidden="1">
      <x:c r="A796" s="24" t="s">
        <x:v>533</x:v>
      </x:c>
      <x:c r="B796" s="25">
        <x:v>46054</x:v>
      </x:c>
      <x:c r="C796" s="45" t="str">
        <x:f t="shared" si="12"/>
        <x:v>FEVEREIRO</x:v>
      </x:c>
      <x:c r="D796" s="24" t="s">
        <x:v>89</x:v>
      </x:c>
      <x:c r="E796" s="24" t="s">
        <x:v>534</x:v>
      </x:c>
      <x:c r="F796" s="24" t="s">
        <x:v>44</x:v>
      </x:c>
      <x:c r="G796" s="44">
        <x:v>12088.1</x:v>
      </x:c>
      <x:c r="H796" s="24" t="s">
        <x:v>91</x:v>
      </x:c>
      <x:c r="I796" s="24" t="s">
        <x:v>311</x:v>
      </x:c>
      <x:c r="J796" s="24" t="s">
        <x:v>532</x:v>
      </x:c>
      <x:c r="K796" s="22" t="s">
        <x:v>11</x:v>
      </x:c>
    </x:row>
    <x:row r="797" hidden="1">
      <x:c r="A797" s="24" t="s">
        <x:v>325</x:v>
      </x:c>
      <x:c r="B797" s="25">
        <x:v>46054</x:v>
      </x:c>
      <x:c r="C797" s="45" t="str">
        <x:f t="shared" si="12"/>
        <x:v>FEVEREIRO</x:v>
      </x:c>
      <x:c r="D797" s="24" t="s">
        <x:v>227</x:v>
      </x:c>
      <x:c r="E797" s="24" t="s">
        <x:v>317</x:v>
      </x:c>
      <x:c r="F797" s="24" t="s">
        <x:v>44</x:v>
      </x:c>
      <x:c r="G797" s="44">
        <x:v>-280</x:v>
      </x:c>
      <x:c r="H797" s="24" t="s">
        <x:v>82</x:v>
      </x:c>
      <x:c r="I797" s="24" t="s">
        <x:v>311</x:v>
      </x:c>
      <x:c r="J797" s="27" t="s">
        <x:v>532</x:v>
      </x:c>
      <x:c r="K797" s="22" t="s">
        <x:v>11</x:v>
      </x:c>
    </x:row>
    <x:row r="798" hidden="1">
      <x:c r="A798" s="24" t="s">
        <x:v>325</x:v>
      </x:c>
      <x:c r="B798" s="25">
        <x:v>46054</x:v>
      </x:c>
      <x:c r="C798" s="45" t="str">
        <x:f t="shared" si="12"/>
        <x:v>FEVEREIRO</x:v>
      </x:c>
      <x:c r="D798" s="24" t="s">
        <x:v>227</x:v>
      </x:c>
      <x:c r="E798" s="24" t="s">
        <x:v>317</x:v>
      </x:c>
      <x:c r="F798" s="24" t="s">
        <x:v>44</x:v>
      </x:c>
      <x:c r="G798" s="44">
        <x:v>-60</x:v>
      </x:c>
      <x:c r="H798" s="24" t="s">
        <x:v>82</x:v>
      </x:c>
      <x:c r="I798" s="24" t="s">
        <x:v>311</x:v>
      </x:c>
      <x:c r="J798" s="27" t="s">
        <x:v>532</x:v>
      </x:c>
      <x:c r="K798" s="22" t="s">
        <x:v>11</x:v>
      </x:c>
    </x:row>
    <x:row r="799" hidden="1">
      <x:c r="A799" s="24" t="s">
        <x:v>325</x:v>
      </x:c>
      <x:c r="B799" s="25">
        <x:v>46054</x:v>
      </x:c>
      <x:c r="C799" s="45" t="str">
        <x:f t="shared" si="12"/>
        <x:v>FEVEREIRO</x:v>
      </x:c>
      <x:c r="D799" s="24" t="s">
        <x:v>227</x:v>
      </x:c>
      <x:c r="E799" s="24" t="s">
        <x:v>317</x:v>
      </x:c>
      <x:c r="F799" s="24" t="s">
        <x:v>44</x:v>
      </x:c>
      <x:c r="G799" s="44">
        <x:v>-120</x:v>
      </x:c>
      <x:c r="H799" s="24" t="s">
        <x:v>82</x:v>
      </x:c>
      <x:c r="I799" s="24" t="s">
        <x:v>311</x:v>
      </x:c>
      <x:c r="J799" s="27" t="s">
        <x:v>532</x:v>
      </x:c>
      <x:c r="K799" s="22" t="s">
        <x:v>11</x:v>
      </x:c>
    </x:row>
    <x:row r="800" hidden="1">
      <x:c r="A800" s="24" t="s">
        <x:v>309</x:v>
      </x:c>
      <x:c r="B800" s="25">
        <x:v>46054</x:v>
      </x:c>
      <x:c r="C800" s="45" t="str">
        <x:f t="shared" si="12"/>
        <x:v>FEVEREIRO</x:v>
      </x:c>
      <x:c r="D800" s="24" t="s">
        <x:v>227</x:v>
      </x:c>
      <x:c r="E800" s="24" t="s">
        <x:v>313</x:v>
      </x:c>
      <x:c r="F800" s="24" t="s">
        <x:v>314</x:v>
      </x:c>
      <x:c r="G800" s="44">
        <x:v>-7104.61</x:v>
      </x:c>
      <x:c r="H800" s="24" t="s">
        <x:v>82</x:v>
      </x:c>
      <x:c r="I800" s="24" t="s">
        <x:v>311</x:v>
      </x:c>
      <x:c r="J800" s="24" t="s">
        <x:v>535</x:v>
      </x:c>
      <x:c r="K800" s="22" t="s">
        <x:v>11</x:v>
      </x:c>
    </x:row>
    <x:row r="801" hidden="1">
      <x:c r="A801" s="24" t="s">
        <x:v>309</x:v>
      </x:c>
      <x:c r="B801" s="25">
        <x:v>46054</x:v>
      </x:c>
      <x:c r="C801" s="45" t="str">
        <x:f t="shared" si="12"/>
        <x:v>FEVEREIRO</x:v>
      </x:c>
      <x:c r="D801" s="24" t="s">
        <x:v>227</x:v>
      </x:c>
      <x:c r="E801" s="24" t="s">
        <x:v>313</x:v>
      </x:c>
      <x:c r="F801" s="24" t="s">
        <x:v>44</x:v>
      </x:c>
      <x:c r="G801" s="44">
        <x:v>-7104.61</x:v>
      </x:c>
      <x:c r="H801" s="24" t="s">
        <x:v>82</x:v>
      </x:c>
      <x:c r="I801" s="24" t="s">
        <x:v>311</x:v>
      </x:c>
      <x:c r="J801" s="24" t="s">
        <x:v>535</x:v>
      </x:c>
      <x:c r="K801" s="22" t="s">
        <x:v>11</x:v>
      </x:c>
    </x:row>
    <x:row r="802" hidden="1">
      <x:c r="A802" s="24" t="s">
        <x:v>309</x:v>
      </x:c>
      <x:c r="B802" s="25">
        <x:v>46054</x:v>
      </x:c>
      <x:c r="C802" s="45" t="str">
        <x:f t="shared" si="12"/>
        <x:v>FEVEREIRO</x:v>
      </x:c>
      <x:c r="D802" s="24" t="s">
        <x:v>227</x:v>
      </x:c>
      <x:c r="E802" s="24" t="s">
        <x:v>313</x:v>
      </x:c>
      <x:c r="F802" s="24" t="s">
        <x:v>59</x:v>
      </x:c>
      <x:c r="G802" s="44">
        <x:v>-7104.61</x:v>
      </x:c>
      <x:c r="H802" s="24" t="s">
        <x:v>82</x:v>
      </x:c>
      <x:c r="I802" s="24" t="s">
        <x:v>311</x:v>
      </x:c>
      <x:c r="J802" s="24" t="s">
        <x:v>535</x:v>
      </x:c>
      <x:c r="K802" s="22" t="s">
        <x:v>11</x:v>
      </x:c>
    </x:row>
    <x:row r="803" hidden="1">
      <x:c r="A803" s="24" t="s">
        <x:v>309</x:v>
      </x:c>
      <x:c r="B803" s="25">
        <x:v>46054</x:v>
      </x:c>
      <x:c r="C803" s="45" t="str">
        <x:f t="shared" si="12"/>
        <x:v>FEVEREIRO</x:v>
      </x:c>
      <x:c r="D803" s="24" t="s">
        <x:v>227</x:v>
      </x:c>
      <x:c r="E803" s="24" t="s">
        <x:v>313</x:v>
      </x:c>
      <x:c r="F803" s="24" t="s">
        <x:v>66</x:v>
      </x:c>
      <x:c r="G803" s="44">
        <x:v>-7104.61</x:v>
      </x:c>
      <x:c r="H803" s="24" t="s">
        <x:v>82</x:v>
      </x:c>
      <x:c r="I803" s="24" t="s">
        <x:v>311</x:v>
      </x:c>
      <x:c r="J803" s="24" t="s">
        <x:v>535</x:v>
      </x:c>
      <x:c r="K803" s="22" t="s">
        <x:v>11</x:v>
      </x:c>
    </x:row>
    <x:row r="804" hidden="1">
      <x:c r="A804" s="24" t="s">
        <x:v>309</x:v>
      </x:c>
      <x:c r="B804" s="25">
        <x:v>46054</x:v>
      </x:c>
      <x:c r="C804" s="45" t="str">
        <x:f t="shared" si="12"/>
        <x:v>FEVEREIRO</x:v>
      </x:c>
      <x:c r="D804" s="24" t="s">
        <x:v>227</x:v>
      </x:c>
      <x:c r="E804" s="24" t="s">
        <x:v>313</x:v>
      </x:c>
      <x:c r="F804" s="24" t="s">
        <x:v>65</x:v>
      </x:c>
      <x:c r="G804" s="44">
        <x:v>-7104.61</x:v>
      </x:c>
      <x:c r="H804" s="24" t="s">
        <x:v>82</x:v>
      </x:c>
      <x:c r="I804" s="24" t="s">
        <x:v>311</x:v>
      </x:c>
      <x:c r="J804" s="24" t="s">
        <x:v>535</x:v>
      </x:c>
      <x:c r="K804" s="22" t="s">
        <x:v>11</x:v>
      </x:c>
    </x:row>
    <x:row r="805" hidden="1">
      <x:c r="A805" s="24" t="s">
        <x:v>315</x:v>
      </x:c>
      <x:c r="B805" s="25">
        <x:v>46054</x:v>
      </x:c>
      <x:c r="C805" s="45" t="str">
        <x:f t="shared" si="12"/>
        <x:v>FEVEREIRO</x:v>
      </x:c>
      <x:c r="D805" s="24" t="s">
        <x:v>162</x:v>
      </x:c>
      <x:c r="E805" s="24" t="s">
        <x:v>23</x:v>
      </x:c>
      <x:c r="F805" s="24" t="s">
        <x:v>65</x:v>
      </x:c>
      <x:c r="G805" s="44">
        <x:v>-400</x:v>
      </x:c>
      <x:c r="H805" s="24" t="s">
        <x:v>82</x:v>
      </x:c>
      <x:c r="I805" s="24" t="s">
        <x:v>311</x:v>
      </x:c>
      <x:c r="J805" s="24" t="s">
        <x:v>535</x:v>
      </x:c>
      <x:c r="K805" s="22" t="s">
        <x:v>11</x:v>
      </x:c>
    </x:row>
    <x:row r="806" hidden="1">
      <x:c r="A806" s="24" t="s">
        <x:v>536</x:v>
      </x:c>
      <x:c r="B806" s="25">
        <x:v>46054</x:v>
      </x:c>
      <x:c r="C806" s="45" t="str">
        <x:f t="shared" si="12"/>
        <x:v>FEVEREIRO</x:v>
      </x:c>
      <x:c r="D806" s="24" t="s">
        <x:v>89</x:v>
      </x:c>
      <x:c r="E806" s="24" t="s">
        <x:v>427</x:v>
      </x:c>
      <x:c r="F806" s="24" t="s">
        <x:v>65</x:v>
      </x:c>
      <x:c r="G806" s="44">
        <x:v>7500</x:v>
      </x:c>
      <x:c r="H806" s="24" t="s">
        <x:v>91</x:v>
      </x:c>
      <x:c r="I806" s="24" t="s">
        <x:v>311</x:v>
      </x:c>
      <x:c r="J806" s="24" t="s">
        <x:v>535</x:v>
      </x:c>
      <x:c r="K806" s="22" t="s">
        <x:v>11</x:v>
      </x:c>
    </x:row>
    <x:row r="807" hidden="1">
      <x:c r="A807" s="24" t="s">
        <x:v>537</x:v>
      </x:c>
      <x:c r="B807" s="25">
        <x:v>46054</x:v>
      </x:c>
      <x:c r="C807" s="45" t="str">
        <x:f t="shared" si="12"/>
        <x:v>FEVEREIRO</x:v>
      </x:c>
      <x:c r="D807" s="24" t="s">
        <x:v>89</x:v>
      </x:c>
      <x:c r="E807" s="24" t="s">
        <x:v>344</x:v>
      </x:c>
      <x:c r="F807" s="24" t="s">
        <x:v>66</x:v>
      </x:c>
      <x:c r="G807" s="44">
        <x:v>9777.2999999999993</x:v>
      </x:c>
      <x:c r="H807" s="24" t="s">
        <x:v>91</x:v>
      </x:c>
      <x:c r="I807" s="24" t="s">
        <x:v>311</x:v>
      </x:c>
      <x:c r="J807" s="24" t="s">
        <x:v>535</x:v>
      </x:c>
      <x:c r="K807" s="22" t="s">
        <x:v>11</x:v>
      </x:c>
    </x:row>
    <x:row r="808" hidden="1">
      <x:c r="A808" s="24" t="s">
        <x:v>315</x:v>
      </x:c>
      <x:c r="B808" s="25">
        <x:v>46054</x:v>
      </x:c>
      <x:c r="C808" s="45" t="str">
        <x:f t="shared" si="12"/>
        <x:v>FEVEREIRO</x:v>
      </x:c>
      <x:c r="D808" s="24" t="s">
        <x:v>162</x:v>
      </x:c>
      <x:c r="E808" s="24" t="s">
        <x:v>24</x:v>
      </x:c>
      <x:c r="F808" s="24" t="s">
        <x:v>66</x:v>
      </x:c>
      <x:c r="G808" s="44">
        <x:v>-400</x:v>
      </x:c>
      <x:c r="H808" s="24" t="s">
        <x:v>82</x:v>
      </x:c>
      <x:c r="I808" s="24" t="s">
        <x:v>311</x:v>
      </x:c>
      <x:c r="J808" s="24" t="s">
        <x:v>535</x:v>
      </x:c>
      <x:c r="K808" s="22" t="s">
        <x:v>11</x:v>
      </x:c>
    </x:row>
    <x:row r="809" hidden="1">
      <x:c r="A809" s="30" t="s">
        <x:v>112</x:v>
      </x:c>
      <x:c r="B809" s="25">
        <x:v>46054</x:v>
      </x:c>
      <x:c r="C809" s="45" t="str">
        <x:f t="shared" si="12"/>
        <x:v>FEVEREIRO</x:v>
      </x:c>
      <x:c r="D809" s="24" t="s">
        <x:v>112</x:v>
      </x:c>
      <x:c r="E809" s="24" t="s">
        <x:v>430</x:v>
      </x:c>
      <x:c r="F809" s="24" t="s">
        <x:v>65</x:v>
      </x:c>
      <x:c r="G809" s="44">
        <x:v>-21322.48</x:v>
      </x:c>
      <x:c r="H809" s="24" t="s">
        <x:v>82</x:v>
      </x:c>
      <x:c r="I809" s="24" t="s">
        <x:v>311</x:v>
      </x:c>
      <x:c r="J809" s="24" t="s">
        <x:v>535</x:v>
      </x:c>
      <x:c r="K809" s="22" t="s">
        <x:v>11</x:v>
      </x:c>
    </x:row>
    <x:row r="810" hidden="1">
      <x:c r="A810" s="24" t="s">
        <x:v>335</x:v>
      </x:c>
      <x:c r="B810" s="25">
        <x:v>46054</x:v>
      </x:c>
      <x:c r="C810" s="45" t="str">
        <x:f t="shared" si="12"/>
        <x:v>FEVEREIRO</x:v>
      </x:c>
      <x:c r="D810" s="24" t="s">
        <x:v>132</x:v>
      </x:c>
      <x:c r="E810" s="24" t="s">
        <x:v>336</x:v>
      </x:c>
      <x:c r="F810" s="24" t="s">
        <x:v>65</x:v>
      </x:c>
      <x:c r="G810" s="44">
        <x:v>-2397.87</x:v>
      </x:c>
      <x:c r="H810" s="24" t="s">
        <x:v>82</x:v>
      </x:c>
      <x:c r="I810" s="24" t="s">
        <x:v>311</x:v>
      </x:c>
      <x:c r="J810" s="24" t="s">
        <x:v>538</x:v>
      </x:c>
      <x:c r="K810" s="22" t="s">
        <x:v>11</x:v>
      </x:c>
    </x:row>
    <x:row r="811" hidden="1">
      <x:c r="A811" s="24" t="s">
        <x:v>539</x:v>
      </x:c>
      <x:c r="B811" s="25">
        <x:v>46054</x:v>
      </x:c>
      <x:c r="C811" s="45" t="str">
        <x:f t="shared" si="12"/>
        <x:v>FEVEREIRO</x:v>
      </x:c>
      <x:c r="D811" s="24" t="s">
        <x:v>89</x:v>
      </x:c>
      <x:c r="E811" s="24" t="s">
        <x:v>467</x:v>
      </x:c>
      <x:c r="F811" s="24" t="s">
        <x:v>59</x:v>
      </x:c>
      <x:c r="G811" s="44">
        <x:v>12088.1</x:v>
      </x:c>
      <x:c r="H811" s="24" t="s">
        <x:v>91</x:v>
      </x:c>
      <x:c r="I811" s="24" t="s">
        <x:v>311</x:v>
      </x:c>
      <x:c r="J811" s="24" t="s">
        <x:v>538</x:v>
      </x:c>
      <x:c r="K811" s="22" t="s">
        <x:v>11</x:v>
      </x:c>
    </x:row>
    <x:row r="812" hidden="1">
      <x:c r="A812" s="24" t="s">
        <x:v>315</x:v>
      </x:c>
      <x:c r="B812" s="25">
        <x:v>46054</x:v>
      </x:c>
      <x:c r="C812" s="45" t="str">
        <x:f t="shared" si="12"/>
        <x:v>FEVEREIRO</x:v>
      </x:c>
      <x:c r="D812" s="24" t="s">
        <x:v>162</x:v>
      </x:c>
      <x:c r="E812" s="24" t="s">
        <x:v>13</x:v>
      </x:c>
      <x:c r="F812" s="24" t="s">
        <x:v>59</x:v>
      </x:c>
      <x:c r="G812" s="44">
        <x:v>-400</x:v>
      </x:c>
      <x:c r="H812" s="24" t="s">
        <x:v>82</x:v>
      </x:c>
      <x:c r="I812" s="24" t="s">
        <x:v>311</x:v>
      </x:c>
      <x:c r="J812" s="24" t="s">
        <x:v>538</x:v>
      </x:c>
      <x:c r="K812" s="22" t="s">
        <x:v>11</x:v>
      </x:c>
    </x:row>
    <x:row r="813" hidden="1">
      <x:c r="A813" s="24" t="s">
        <x:v>540</x:v>
      </x:c>
      <x:c r="B813" s="25">
        <x:v>46054</x:v>
      </x:c>
      <x:c r="C813" s="45" t="str">
        <x:f t="shared" si="12"/>
        <x:v>FEVEREIRO</x:v>
      </x:c>
      <x:c r="D813" s="24" t="s">
        <x:v>89</x:v>
      </x:c>
      <x:c r="E813" s="24" t="s">
        <x:v>346</x:v>
      </x:c>
      <x:c r="F813" s="24" t="s">
        <x:v>314</x:v>
      </x:c>
      <x:c r="G813" s="44">
        <x:v>14714.6</x:v>
      </x:c>
      <x:c r="H813" s="24" t="s">
        <x:v>91</x:v>
      </x:c>
      <x:c r="I813" s="24" t="s">
        <x:v>311</x:v>
      </x:c>
      <x:c r="J813" s="24" t="s">
        <x:v>538</x:v>
      </x:c>
      <x:c r="K813" s="22" t="s">
        <x:v>11</x:v>
      </x:c>
    </x:row>
    <x:row r="814" hidden="1">
      <x:c r="A814" s="24" t="s">
        <x:v>315</x:v>
      </x:c>
      <x:c r="B814" s="25">
        <x:v>46054</x:v>
      </x:c>
      <x:c r="C814" s="45" t="str">
        <x:f t="shared" si="12"/>
        <x:v>FEVEREIRO</x:v>
      </x:c>
      <x:c r="D814" s="24" t="s">
        <x:v>162</x:v>
      </x:c>
      <x:c r="E814" s="24" t="s">
        <x:v>10</x:v>
      </x:c>
      <x:c r="F814" s="24" t="s">
        <x:v>314</x:v>
      </x:c>
      <x:c r="G814" s="44">
        <x:v>-400</x:v>
      </x:c>
      <x:c r="H814" s="24" t="s">
        <x:v>82</x:v>
      </x:c>
      <x:c r="I814" s="24" t="s">
        <x:v>311</x:v>
      </x:c>
      <x:c r="J814" s="24" t="s">
        <x:v>538</x:v>
      </x:c>
      <x:c r="K814" s="22" t="s">
        <x:v>11</x:v>
      </x:c>
    </x:row>
    <x:row r="815" hidden="1">
      <x:c r="A815" s="24" t="s">
        <x:v>442</x:v>
      </x:c>
      <x:c r="B815" s="25">
        <x:v>46054</x:v>
      </x:c>
      <x:c r="C815" s="45" t="str">
        <x:f t="shared" si="12"/>
        <x:v>FEVEREIRO</x:v>
      </x:c>
      <x:c r="D815" s="24" t="s">
        <x:v>227</x:v>
      </x:c>
      <x:c r="E815" s="24" t="s">
        <x:v>355</x:v>
      </x:c>
      <x:c r="F815" s="24" t="s">
        <x:v>59</x:v>
      </x:c>
      <x:c r="G815" s="44">
        <x:v>-1074.33</x:v>
      </x:c>
      <x:c r="H815" s="24" t="s">
        <x:v>82</x:v>
      </x:c>
      <x:c r="I815" s="24" t="s">
        <x:v>311</x:v>
      </x:c>
      <x:c r="J815" s="24" t="s">
        <x:v>538</x:v>
      </x:c>
      <x:c r="K815" s="22" t="s">
        <x:v>11</x:v>
      </x:c>
    </x:row>
    <x:row r="816" hidden="1">
      <x:c r="A816" s="24" t="s">
        <x:v>439</x:v>
      </x:c>
      <x:c r="B816" s="25">
        <x:v>46054</x:v>
      </x:c>
      <x:c r="C816" s="45" t="str">
        <x:f t="shared" si="12"/>
        <x:v>FEVEREIRO</x:v>
      </x:c>
      <x:c r="D816" s="24" t="s">
        <x:v>227</x:v>
      </x:c>
      <x:c r="E816" s="24" t="s">
        <x:v>511</x:v>
      </x:c>
      <x:c r="F816" s="24" t="s">
        <x:v>385</x:v>
      </x:c>
      <x:c r="G816" s="44">
        <x:v>-380</x:v>
      </x:c>
      <x:c r="H816" s="24" t="s">
        <x:v>82</x:v>
      </x:c>
      <x:c r="I816" s="24" t="s">
        <x:v>311</x:v>
      </x:c>
      <x:c r="J816" s="24" t="s">
        <x:v>541</x:v>
      </x:c>
      <x:c r="K816" s="22" t="s">
        <x:v>11</x:v>
      </x:c>
    </x:row>
    <x:row r="817" hidden="1">
      <x:c r="A817" s="24" t="s">
        <x:v>315</x:v>
      </x:c>
      <x:c r="B817" s="25">
        <x:v>46054</x:v>
      </x:c>
      <x:c r="C817" s="45" t="str">
        <x:f t="shared" si="12"/>
        <x:v>FEVEREIRO</x:v>
      </x:c>
      <x:c r="D817" s="24" t="s">
        <x:v>162</x:v>
      </x:c>
      <x:c r="E817" s="24" t="s">
        <x:v>23</x:v>
      </x:c>
      <x:c r="F817" s="24" t="s">
        <x:v>65</x:v>
      </x:c>
      <x:c r="G817" s="44">
        <x:v>-400</x:v>
      </x:c>
      <x:c r="H817" s="24" t="s">
        <x:v>82</x:v>
      </x:c>
      <x:c r="I817" s="24" t="s">
        <x:v>311</x:v>
      </x:c>
      <x:c r="J817" s="24" t="s">
        <x:v>541</x:v>
      </x:c>
      <x:c r="K817" s="22" t="s">
        <x:v>11</x:v>
      </x:c>
    </x:row>
    <x:row r="818" hidden="1">
      <x:c r="A818" s="24" t="s">
        <x:v>542</x:v>
      </x:c>
      <x:c r="B818" s="25">
        <x:v>46054</x:v>
      </x:c>
      <x:c r="C818" s="45" t="str">
        <x:f t="shared" si="12"/>
        <x:v>FEVEREIRO</x:v>
      </x:c>
      <x:c r="D818" s="24" t="s">
        <x:v>89</x:v>
      </x:c>
      <x:c r="E818" s="24" t="s">
        <x:v>543</x:v>
      </x:c>
      <x:c r="F818" s="24" t="s">
        <x:v>65</x:v>
      </x:c>
      <x:c r="G818" s="44">
        <x:v>9799.1</x:v>
      </x:c>
      <x:c r="H818" s="24" t="s">
        <x:v>91</x:v>
      </x:c>
      <x:c r="I818" s="24" t="s">
        <x:v>311</x:v>
      </x:c>
      <x:c r="J818" s="24" t="s">
        <x:v>541</x:v>
      </x:c>
      <x:c r="K818" s="22" t="s">
        <x:v>11</x:v>
      </x:c>
    </x:row>
    <x:row r="819" hidden="1">
      <x:c r="A819" s="24" t="s">
        <x:v>544</x:v>
      </x:c>
      <x:c r="B819" s="25">
        <x:v>46054</x:v>
      </x:c>
      <x:c r="C819" s="45" t="str">
        <x:f t="shared" si="12"/>
        <x:v>FEVEREIRO</x:v>
      </x:c>
      <x:c r="D819" s="24" t="s">
        <x:v>89</x:v>
      </x:c>
      <x:c r="E819" s="24" t="s">
        <x:v>377</x:v>
      </x:c>
      <x:c r="F819" s="24" t="s">
        <x:v>66</x:v>
      </x:c>
      <x:c r="G819" s="44">
        <x:v>10093.4</x:v>
      </x:c>
      <x:c r="H819" s="24" t="s">
        <x:v>91</x:v>
      </x:c>
      <x:c r="I819" s="24" t="s">
        <x:v>311</x:v>
      </x:c>
      <x:c r="J819" s="24" t="s">
        <x:v>541</x:v>
      </x:c>
      <x:c r="K819" s="22" t="s">
        <x:v>11</x:v>
      </x:c>
    </x:row>
    <x:row r="820" hidden="1">
      <x:c r="A820" s="24" t="s">
        <x:v>315</x:v>
      </x:c>
      <x:c r="B820" s="25">
        <x:v>46054</x:v>
      </x:c>
      <x:c r="C820" s="45" t="str">
        <x:f t="shared" si="12"/>
        <x:v>FEVEREIRO</x:v>
      </x:c>
      <x:c r="D820" s="24" t="s">
        <x:v>162</x:v>
      </x:c>
      <x:c r="E820" s="24" t="s">
        <x:v>24</x:v>
      </x:c>
      <x:c r="F820" s="24" t="s">
        <x:v>66</x:v>
      </x:c>
      <x:c r="G820" s="44">
        <x:v>-400</x:v>
      </x:c>
      <x:c r="H820" s="24" t="s">
        <x:v>82</x:v>
      </x:c>
      <x:c r="I820" s="24" t="s">
        <x:v>311</x:v>
      </x:c>
      <x:c r="J820" s="24" t="s">
        <x:v>541</x:v>
      </x:c>
      <x:c r="K820" s="22" t="s">
        <x:v>11</x:v>
      </x:c>
    </x:row>
    <x:row r="821" hidden="1">
      <x:c r="A821" s="24" t="s">
        <x:v>545</x:v>
      </x:c>
      <x:c r="B821" s="25">
        <x:v>46054</x:v>
      </x:c>
      <x:c r="C821" s="45" t="str">
        <x:f t="shared" si="12"/>
        <x:v>FEVEREIRO</x:v>
      </x:c>
      <x:c r="D821" s="24" t="s">
        <x:v>89</x:v>
      </x:c>
      <x:c r="E821" s="24" t="s">
        <x:v>446</x:v>
      </x:c>
      <x:c r="F821" s="24" t="s">
        <x:v>66</x:v>
      </x:c>
      <x:c r="G821" s="44">
        <x:v>7144</x:v>
      </x:c>
      <x:c r="H821" s="24" t="s">
        <x:v>91</x:v>
      </x:c>
      <x:c r="I821" s="24" t="s">
        <x:v>311</x:v>
      </x:c>
      <x:c r="J821" s="24" t="s">
        <x:v>541</x:v>
      </x:c>
      <x:c r="K821" s="22" t="s">
        <x:v>11</x:v>
      </x:c>
    </x:row>
    <x:row r="822" hidden="1">
      <x:c r="A822" s="24" t="s">
        <x:v>315</x:v>
      </x:c>
      <x:c r="B822" s="25">
        <x:v>46054</x:v>
      </x:c>
      <x:c r="C822" s="45" t="str">
        <x:f t="shared" si="12"/>
        <x:v>FEVEREIRO</x:v>
      </x:c>
      <x:c r="D822" s="24" t="s">
        <x:v>162</x:v>
      </x:c>
      <x:c r="E822" s="24" t="s">
        <x:v>24</x:v>
      </x:c>
      <x:c r="F822" s="24" t="s">
        <x:v>66</x:v>
      </x:c>
      <x:c r="G822" s="44">
        <x:v>-400</x:v>
      </x:c>
      <x:c r="H822" s="24" t="s">
        <x:v>82</x:v>
      </x:c>
      <x:c r="I822" s="24" t="s">
        <x:v>311</x:v>
      </x:c>
      <x:c r="J822" s="24" t="s">
        <x:v>541</x:v>
      </x:c>
      <x:c r="K822" s="22" t="s">
        <x:v>11</x:v>
      </x:c>
    </x:row>
    <x:row r="823" hidden="1">
      <x:c r="A823" s="24" t="s">
        <x:v>354</x:v>
      </x:c>
      <x:c r="B823" s="25">
        <x:v>46054</x:v>
      </x:c>
      <x:c r="C823" s="45" t="str">
        <x:f t="shared" si="12"/>
        <x:v>FEVEREIRO</x:v>
      </x:c>
      <x:c r="D823" s="24" t="s">
        <x:v>227</x:v>
      </x:c>
      <x:c r="E823" s="24" t="s">
        <x:v>388</x:v>
      </x:c>
      <x:c r="F823" s="24" t="s">
        <x:v>314</x:v>
      </x:c>
      <x:c r="G823" s="44">
        <x:v>-955.31</x:v>
      </x:c>
      <x:c r="H823" s="24" t="s">
        <x:v>82</x:v>
      </x:c>
      <x:c r="I823" s="24" t="s">
        <x:v>311</x:v>
      </x:c>
      <x:c r="J823" s="24" t="s">
        <x:v>546</x:v>
      </x:c>
      <x:c r="K823" s="22" t="s">
        <x:v>11</x:v>
      </x:c>
    </x:row>
    <x:row r="824" hidden="1">
      <x:c r="A824" s="24" t="s">
        <x:v>357</x:v>
      </x:c>
      <x:c r="B824" s="25">
        <x:v>46054</x:v>
      </x:c>
      <x:c r="C824" s="45" t="str">
        <x:f t="shared" si="12"/>
        <x:v>FEVEREIRO</x:v>
      </x:c>
      <x:c r="D824" s="24" t="s">
        <x:v>227</x:v>
      </x:c>
      <x:c r="E824" s="24" t="s">
        <x:v>388</x:v>
      </x:c>
      <x:c r="F824" s="24" t="s">
        <x:v>314</x:v>
      </x:c>
      <x:c r="G824" s="44">
        <x:v>-2210.21</x:v>
      </x:c>
      <x:c r="H824" s="24" t="s">
        <x:v>82</x:v>
      </x:c>
      <x:c r="I824" s="24" t="s">
        <x:v>311</x:v>
      </x:c>
      <x:c r="J824" s="24" t="s">
        <x:v>546</x:v>
      </x:c>
      <x:c r="K824" s="22" t="s">
        <x:v>11</x:v>
      </x:c>
    </x:row>
    <x:row r="825" hidden="1">
      <x:c r="A825" s="24" t="s">
        <x:v>325</x:v>
      </x:c>
      <x:c r="B825" s="25">
        <x:v>46054</x:v>
      </x:c>
      <x:c r="C825" s="45" t="str">
        <x:f t="shared" si="12"/>
        <x:v>FEVEREIRO</x:v>
      </x:c>
      <x:c r="D825" s="24" t="s">
        <x:v>227</x:v>
      </x:c>
      <x:c r="E825" s="24" t="s">
        <x:v>388</x:v>
      </x:c>
      <x:c r="F825" s="24" t="s">
        <x:v>314</x:v>
      </x:c>
      <x:c r="G825" s="44">
        <x:v>-860</x:v>
      </x:c>
      <x:c r="H825" s="24" t="s">
        <x:v>82</x:v>
      </x:c>
      <x:c r="I825" s="24" t="s">
        <x:v>311</x:v>
      </x:c>
      <x:c r="J825" s="27" t="s">
        <x:v>546</x:v>
      </x:c>
      <x:c r="K825" s="22" t="s">
        <x:v>11</x:v>
      </x:c>
    </x:row>
    <x:row r="826" hidden="1">
      <x:c r="A826" s="24" t="s">
        <x:v>309</x:v>
      </x:c>
      <x:c r="B826" s="25">
        <x:v>46054</x:v>
      </x:c>
      <x:c r="C826" s="45" t="str">
        <x:f t="shared" si="12"/>
        <x:v>FEVEREIRO</x:v>
      </x:c>
      <x:c r="D826" s="24" t="s">
        <x:v>227</x:v>
      </x:c>
      <x:c r="E826" s="24" t="s">
        <x:v>310</x:v>
      </x:c>
      <x:c r="F826" s="24" t="s">
        <x:v>314</x:v>
      </x:c>
      <x:c r="G826" s="44">
        <x:v>-469.35</x:v>
      </x:c>
      <x:c r="H826" s="24" t="s">
        <x:v>82</x:v>
      </x:c>
      <x:c r="I826" s="24" t="s">
        <x:v>311</x:v>
      </x:c>
      <x:c r="J826" s="24" t="s">
        <x:v>546</x:v>
      </x:c>
      <x:c r="K826" s="22" t="s">
        <x:v>11</x:v>
      </x:c>
    </x:row>
    <x:row r="827" hidden="1">
      <x:c r="A827" s="24" t="s">
        <x:v>309</x:v>
      </x:c>
      <x:c r="B827" s="25">
        <x:v>46054</x:v>
      </x:c>
      <x:c r="C827" s="45" t="str">
        <x:f t="shared" si="12"/>
        <x:v>FEVEREIRO</x:v>
      </x:c>
      <x:c r="D827" s="24" t="s">
        <x:v>227</x:v>
      </x:c>
      <x:c r="E827" s="24" t="s">
        <x:v>310</x:v>
      </x:c>
      <x:c r="F827" s="24" t="s">
        <x:v>66</x:v>
      </x:c>
      <x:c r="G827" s="44">
        <x:v>-2484.42</x:v>
      </x:c>
      <x:c r="H827" s="24" t="s">
        <x:v>82</x:v>
      </x:c>
      <x:c r="I827" s="24" t="s">
        <x:v>311</x:v>
      </x:c>
      <x:c r="J827" s="24" t="s">
        <x:v>546</x:v>
      </x:c>
      <x:c r="K827" s="22" t="s">
        <x:v>11</x:v>
      </x:c>
    </x:row>
    <x:row r="828" hidden="1">
      <x:c r="A828" s="24" t="s">
        <x:v>309</x:v>
      </x:c>
      <x:c r="B828" s="25">
        <x:v>46054</x:v>
      </x:c>
      <x:c r="C828" s="45" t="str">
        <x:f t="shared" si="12"/>
        <x:v>FEVEREIRO</x:v>
      </x:c>
      <x:c r="D828" s="24" t="s">
        <x:v>227</x:v>
      </x:c>
      <x:c r="E828" s="24" t="s">
        <x:v>313</x:v>
      </x:c>
      <x:c r="F828" s="24" t="s">
        <x:v>314</x:v>
      </x:c>
      <x:c r="G828" s="44">
        <x:v>-3343.89</x:v>
      </x:c>
      <x:c r="H828" s="24" t="s">
        <x:v>82</x:v>
      </x:c>
      <x:c r="I828" s="24" t="s">
        <x:v>311</x:v>
      </x:c>
      <x:c r="J828" s="24" t="s">
        <x:v>546</x:v>
      </x:c>
      <x:c r="K828" s="22" t="s">
        <x:v>11</x:v>
      </x:c>
    </x:row>
    <x:row r="829" hidden="1">
      <x:c r="A829" s="24" t="s">
        <x:v>309</x:v>
      </x:c>
      <x:c r="B829" s="25">
        <x:v>46054</x:v>
      </x:c>
      <x:c r="C829" s="45" t="str">
        <x:f t="shared" si="12"/>
        <x:v>FEVEREIRO</x:v>
      </x:c>
      <x:c r="D829" s="24" t="s">
        <x:v>227</x:v>
      </x:c>
      <x:c r="E829" s="24" t="s">
        <x:v>313</x:v>
      </x:c>
      <x:c r="F829" s="24" t="s">
        <x:v>59</x:v>
      </x:c>
      <x:c r="G829" s="44">
        <x:v>-6068.35</x:v>
      </x:c>
      <x:c r="H829" s="24" t="s">
        <x:v>82</x:v>
      </x:c>
      <x:c r="I829" s="24" t="s">
        <x:v>311</x:v>
      </x:c>
      <x:c r="J829" s="24" t="s">
        <x:v>546</x:v>
      </x:c>
      <x:c r="K829" s="22" t="s">
        <x:v>11</x:v>
      </x:c>
    </x:row>
    <x:row r="830" hidden="1">
      <x:c r="A830" s="24" t="s">
        <x:v>309</x:v>
      </x:c>
      <x:c r="B830" s="25">
        <x:v>46054</x:v>
      </x:c>
      <x:c r="C830" s="45" t="str">
        <x:f t="shared" si="12"/>
        <x:v>FEVEREIRO</x:v>
      </x:c>
      <x:c r="D830" s="24" t="s">
        <x:v>227</x:v>
      </x:c>
      <x:c r="E830" s="24" t="s">
        <x:v>313</x:v>
      </x:c>
      <x:c r="F830" s="24" t="s">
        <x:v>65</x:v>
      </x:c>
      <x:c r="G830" s="44">
        <x:v>-10595.45</x:v>
      </x:c>
      <x:c r="H830" s="24" t="s">
        <x:v>82</x:v>
      </x:c>
      <x:c r="I830" s="24" t="s">
        <x:v>311</x:v>
      </x:c>
      <x:c r="J830" s="24" t="s">
        <x:v>546</x:v>
      </x:c>
      <x:c r="K830" s="22" t="s">
        <x:v>11</x:v>
      </x:c>
    </x:row>
    <x:row r="831" hidden="1">
      <x:c r="A831" s="24" t="s">
        <x:v>309</x:v>
      </x:c>
      <x:c r="B831" s="25">
        <x:v>46054</x:v>
      </x:c>
      <x:c r="C831" s="45" t="str">
        <x:f t="shared" si="12"/>
        <x:v>FEVEREIRO</x:v>
      </x:c>
      <x:c r="D831" s="24" t="s">
        <x:v>227</x:v>
      </x:c>
      <x:c r="E831" s="24" t="s">
        <x:v>313</x:v>
      </x:c>
      <x:c r="F831" s="24" t="s">
        <x:v>66</x:v>
      </x:c>
      <x:c r="G831" s="44">
        <x:v>-4659.96</x:v>
      </x:c>
      <x:c r="H831" s="24" t="s">
        <x:v>82</x:v>
      </x:c>
      <x:c r="I831" s="24" t="s">
        <x:v>311</x:v>
      </x:c>
      <x:c r="J831" s="24" t="s">
        <x:v>546</x:v>
      </x:c>
      <x:c r="K831" s="22" t="s">
        <x:v>11</x:v>
      </x:c>
    </x:row>
    <x:row r="832" hidden="1">
      <x:c r="A832" s="24" t="s">
        <x:v>357</x:v>
      </x:c>
      <x:c r="B832" s="25">
        <x:v>46054</x:v>
      </x:c>
      <x:c r="C832" s="45" t="str">
        <x:f t="shared" si="12"/>
        <x:v>FEVEREIRO</x:v>
      </x:c>
      <x:c r="D832" s="24" t="s">
        <x:v>227</x:v>
      </x:c>
      <x:c r="E832" s="24" t="s">
        <x:v>24</x:v>
      </x:c>
      <x:c r="F832" s="24" t="s">
        <x:v>66</x:v>
      </x:c>
      <x:c r="G832" s="44">
        <x:v>-100</x:v>
      </x:c>
      <x:c r="H832" s="24" t="s">
        <x:v>82</x:v>
      </x:c>
      <x:c r="I832" s="24" t="s">
        <x:v>311</x:v>
      </x:c>
      <x:c r="J832" s="24" t="s">
        <x:v>546</x:v>
      </x:c>
      <x:c r="K832" s="22" t="s">
        <x:v>11</x:v>
      </x:c>
    </x:row>
    <x:row r="833" hidden="1">
      <x:c r="A833" s="24" t="s">
        <x:v>337</x:v>
      </x:c>
      <x:c r="B833" s="25">
        <x:v>46054</x:v>
      </x:c>
      <x:c r="C833" s="45" t="str">
        <x:f t="shared" si="12"/>
        <x:v>FEVEREIRO</x:v>
      </x:c>
      <x:c r="D833" s="24" t="s">
        <x:v>227</x:v>
      </x:c>
      <x:c r="E833" s="24" t="s">
        <x:v>338</x:v>
      </x:c>
      <x:c r="F833" s="24" t="s">
        <x:v>314</x:v>
      </x:c>
      <x:c r="G833" s="44">
        <x:v>-666</x:v>
      </x:c>
      <x:c r="H833" s="24" t="s">
        <x:v>82</x:v>
      </x:c>
      <x:c r="I833" s="24" t="s">
        <x:v>311</x:v>
      </x:c>
      <x:c r="J833" s="24" t="s">
        <x:v>547</x:v>
      </x:c>
      <x:c r="K833" s="22" t="s">
        <x:v>11</x:v>
      </x:c>
    </x:row>
    <x:row r="834" hidden="1">
      <x:c r="A834" s="24" t="s">
        <x:v>337</x:v>
      </x:c>
      <x:c r="B834" s="25">
        <x:v>46054</x:v>
      </x:c>
      <x:c r="C834" s="45" t="str">
        <x:f t="shared" ref="C834:C897" si="13">UPPER(TEXT(B834,"MMMM"))</x:f>
        <x:v>FEBRUARY</x:v>
      </x:c>
      <x:c r="D834" s="24" t="s">
        <x:v>227</x:v>
      </x:c>
      <x:c r="E834" s="24" t="s">
        <x:v>338</x:v>
      </x:c>
      <x:c r="F834" s="24" t="s">
        <x:v>389</x:v>
      </x:c>
      <x:c r="G834" s="44">
        <x:v>-1388.67</x:v>
      </x:c>
      <x:c r="H834" s="24" t="s">
        <x:v>82</x:v>
      </x:c>
      <x:c r="I834" s="24" t="s">
        <x:v>311</x:v>
      </x:c>
      <x:c r="J834" s="24" t="s">
        <x:v>547</x:v>
      </x:c>
      <x:c r="K834" s="22" t="s">
        <x:v>11</x:v>
      </x:c>
    </x:row>
    <x:row r="835" hidden="1">
      <x:c r="A835" s="24" t="s">
        <x:v>439</x:v>
      </x:c>
      <x:c r="B835" s="25">
        <x:v>46054</x:v>
      </x:c>
      <x:c r="C835" s="45" t="str">
        <x:f t="shared" si="13"/>
        <x:v>FEVEREIRO</x:v>
      </x:c>
      <x:c r="D835" s="24" t="s">
        <x:v>227</x:v>
      </x:c>
      <x:c r="E835" s="24" t="s">
        <x:v>338</x:v>
      </x:c>
      <x:c r="F835" s="24" t="s">
        <x:v>389</x:v>
      </x:c>
      <x:c r="G835" s="44">
        <x:v>-260</x:v>
      </x:c>
      <x:c r="H835" s="24" t="s">
        <x:v>82</x:v>
      </x:c>
      <x:c r="I835" s="24" t="s">
        <x:v>311</x:v>
      </x:c>
      <x:c r="J835" s="24" t="s">
        <x:v>547</x:v>
      </x:c>
      <x:c r="K835" s="22" t="s">
        <x:v>11</x:v>
      </x:c>
    </x:row>
    <x:row r="836" hidden="1">
      <x:c r="A836" s="24" t="s">
        <x:v>325</x:v>
      </x:c>
      <x:c r="B836" s="25">
        <x:v>46054</x:v>
      </x:c>
      <x:c r="C836" s="45" t="str">
        <x:f t="shared" si="13"/>
        <x:v>FEVEREIRO</x:v>
      </x:c>
      <x:c r="D836" s="24" t="s">
        <x:v>227</x:v>
      </x:c>
      <x:c r="E836" s="24" t="s">
        <x:v>511</x:v>
      </x:c>
      <x:c r="F836" s="24" t="s">
        <x:v>314</x:v>
      </x:c>
      <x:c r="G836" s="44">
        <x:v>-275</x:v>
      </x:c>
      <x:c r="H836" s="24" t="s">
        <x:v>82</x:v>
      </x:c>
      <x:c r="I836" s="24" t="s">
        <x:v>311</x:v>
      </x:c>
      <x:c r="J836" s="27" t="s">
        <x:v>547</x:v>
      </x:c>
      <x:c r="K836" s="22" t="s">
        <x:v>11</x:v>
      </x:c>
    </x:row>
    <x:row r="837" hidden="1">
      <x:c r="A837" s="24" t="s">
        <x:v>315</x:v>
      </x:c>
      <x:c r="B837" s="25">
        <x:v>46054</x:v>
      </x:c>
      <x:c r="C837" s="45" t="str">
        <x:f t="shared" si="13"/>
        <x:v>FEVEREIRO</x:v>
      </x:c>
      <x:c r="D837" s="24" t="s">
        <x:v>162</x:v>
      </x:c>
      <x:c r="E837" s="24" t="s">
        <x:v>10</x:v>
      </x:c>
      <x:c r="F837" s="24" t="s">
        <x:v>314</x:v>
      </x:c>
      <x:c r="G837" s="44">
        <x:v>-400</x:v>
      </x:c>
      <x:c r="H837" s="24" t="s">
        <x:v>82</x:v>
      </x:c>
      <x:c r="I837" s="24" t="s">
        <x:v>311</x:v>
      </x:c>
      <x:c r="J837" s="28" t="s">
        <x:v>547</x:v>
      </x:c>
      <x:c r="K837" s="22" t="s">
        <x:v>11</x:v>
      </x:c>
    </x:row>
    <x:row r="838" hidden="1">
      <x:c r="A838" s="28" t="s">
        <x:v>548</x:v>
      </x:c>
      <x:c r="B838" s="25">
        <x:v>46054</x:v>
      </x:c>
      <x:c r="C838" s="45" t="str">
        <x:f t="shared" si="13"/>
        <x:v>FEVEREIRO</x:v>
      </x:c>
      <x:c r="D838" s="28" t="s">
        <x:v>89</x:v>
      </x:c>
      <x:c r="E838" s="28" t="s">
        <x:v>359</x:v>
      </x:c>
      <x:c r="F838" s="24" t="s">
        <x:v>59</x:v>
      </x:c>
      <x:c r="G838" s="44">
        <x:v>12099</x:v>
      </x:c>
      <x:c r="H838" s="24" t="s">
        <x:v>91</x:v>
      </x:c>
      <x:c r="I838" s="24" t="s">
        <x:v>311</x:v>
      </x:c>
      <x:c r="J838" s="28" t="s">
        <x:v>547</x:v>
      </x:c>
      <x:c r="K838" s="22" t="s">
        <x:v>11</x:v>
      </x:c>
    </x:row>
    <x:row r="839" hidden="1">
      <x:c r="A839" s="24" t="s">
        <x:v>315</x:v>
      </x:c>
      <x:c r="B839" s="25">
        <x:v>46054</x:v>
      </x:c>
      <x:c r="C839" s="45" t="str">
        <x:f t="shared" si="13"/>
        <x:v>FEVEREIRO</x:v>
      </x:c>
      <x:c r="D839" s="24" t="s">
        <x:v>162</x:v>
      </x:c>
      <x:c r="E839" s="24" t="s">
        <x:v>317</x:v>
      </x:c>
      <x:c r="F839" s="24" t="s">
        <x:v>44</x:v>
      </x:c>
      <x:c r="G839" s="44">
        <x:v>-400</x:v>
      </x:c>
      <x:c r="H839" s="24" t="s">
        <x:v>82</x:v>
      </x:c>
      <x:c r="I839" s="24" t="s">
        <x:v>311</x:v>
      </x:c>
      <x:c r="J839" s="24" t="s">
        <x:v>547</x:v>
      </x:c>
      <x:c r="K839" s="22" t="s">
        <x:v>11</x:v>
      </x:c>
    </x:row>
    <x:row r="840" hidden="1">
      <x:c r="A840" s="24" t="s">
        <x:v>549</x:v>
      </x:c>
      <x:c r="B840" s="25">
        <x:v>46054</x:v>
      </x:c>
      <x:c r="C840" s="45" t="str">
        <x:f t="shared" si="13"/>
        <x:v>FEVEREIRO</x:v>
      </x:c>
      <x:c r="D840" s="24" t="s">
        <x:v>89</x:v>
      </x:c>
      <x:c r="E840" s="24" t="s">
        <x:v>534</x:v>
      </x:c>
      <x:c r="F840" s="24" t="s">
        <x:v>44</x:v>
      </x:c>
      <x:c r="G840" s="44">
        <x:v>10791</x:v>
      </x:c>
      <x:c r="H840" s="24" t="s">
        <x:v>91</x:v>
      </x:c>
      <x:c r="I840" s="24" t="s">
        <x:v>311</x:v>
      </x:c>
      <x:c r="J840" s="24" t="s">
        <x:v>547</x:v>
      </x:c>
      <x:c r="K840" s="22" t="s">
        <x:v>11</x:v>
      </x:c>
    </x:row>
    <x:row r="841" hidden="1">
      <x:c r="A841" s="24" t="s">
        <x:v>315</x:v>
      </x:c>
      <x:c r="B841" s="25">
        <x:v>46054</x:v>
      </x:c>
      <x:c r="C841" s="45" t="str">
        <x:f t="shared" si="13"/>
        <x:v>FEVEREIRO</x:v>
      </x:c>
      <x:c r="D841" s="24" t="s">
        <x:v>162</x:v>
      </x:c>
      <x:c r="E841" s="24" t="s">
        <x:v>23</x:v>
      </x:c>
      <x:c r="F841" s="24" t="s">
        <x:v>65</x:v>
      </x:c>
      <x:c r="G841" s="44">
        <x:v>-400</x:v>
      </x:c>
      <x:c r="H841" s="24" t="s">
        <x:v>82</x:v>
      </x:c>
      <x:c r="I841" s="24" t="s">
        <x:v>311</x:v>
      </x:c>
      <x:c r="J841" s="47">
        <x:v>46081</x:v>
      </x:c>
      <x:c r="K841" s="22" t="s">
        <x:v>11</x:v>
      </x:c>
    </x:row>
    <x:row r="842" hidden="1">
      <x:c r="A842" s="29" t="s">
        <x:v>550</x:v>
      </x:c>
      <x:c r="B842" s="25">
        <x:v>46054</x:v>
      </x:c>
      <x:c r="C842" s="45" t="str">
        <x:f t="shared" si="13"/>
        <x:v>FEVEREIRO</x:v>
      </x:c>
      <x:c r="D842" s="29" t="s">
        <x:v>89</x:v>
      </x:c>
      <x:c r="E842" s="29" t="s">
        <x:v>374</x:v>
      </x:c>
      <x:c r="F842" s="29" t="s">
        <x:v>65</x:v>
      </x:c>
      <x:c r="G842" s="44">
        <x:v>9613.7999999999993</x:v>
      </x:c>
      <x:c r="H842" s="29" t="s">
        <x:v>91</x:v>
      </x:c>
      <x:c r="I842" s="29" t="s">
        <x:v>311</x:v>
      </x:c>
      <x:c r="J842" s="47">
        <x:v>46081</x:v>
      </x:c>
      <x:c r="K842" s="22" t="s">
        <x:v>11</x:v>
      </x:c>
    </x:row>
    <x:row r="843" hidden="1">
      <x:c r="A843" s="24" t="s">
        <x:v>551</x:v>
      </x:c>
      <x:c r="B843" s="25">
        <x:v>46054</x:v>
      </x:c>
      <x:c r="C843" s="45" t="str">
        <x:f t="shared" si="13"/>
        <x:v>FEVEREIRO</x:v>
      </x:c>
      <x:c r="D843" s="24" t="s">
        <x:v>89</x:v>
      </x:c>
      <x:c r="E843" s="24" t="s">
        <x:v>377</x:v>
      </x:c>
      <x:c r="F843" s="24" t="s">
        <x:v>314</x:v>
      </x:c>
      <x:c r="G843" s="44">
        <x:v>11445</x:v>
      </x:c>
      <x:c r="H843" s="24" t="s">
        <x:v>91</x:v>
      </x:c>
      <x:c r="I843" s="24" t="s">
        <x:v>311</x:v>
      </x:c>
      <x:c r="J843" s="23">
        <x:v>46081</x:v>
      </x:c>
      <x:c r="K843" s="22" t="s">
        <x:v>11</x:v>
      </x:c>
    </x:row>
    <x:row r="844" hidden="1">
      <x:c r="A844" s="24" t="s">
        <x:v>315</x:v>
      </x:c>
      <x:c r="B844" s="25">
        <x:v>46054</x:v>
      </x:c>
      <x:c r="C844" s="45" t="str">
        <x:f t="shared" si="13"/>
        <x:v>FEVEREIRO</x:v>
      </x:c>
      <x:c r="D844" s="24" t="s">
        <x:v>162</x:v>
      </x:c>
      <x:c r="E844" s="24" t="s">
        <x:v>10</x:v>
      </x:c>
      <x:c r="F844" s="24" t="s">
        <x:v>314</x:v>
      </x:c>
      <x:c r="G844" s="44">
        <x:v>-400</x:v>
      </x:c>
      <x:c r="H844" s="24" t="s">
        <x:v>82</x:v>
      </x:c>
      <x:c r="I844" s="24" t="s">
        <x:v>311</x:v>
      </x:c>
      <x:c r="J844" s="23">
        <x:v>46081</x:v>
      </x:c>
      <x:c r="K844" s="22" t="s">
        <x:v>11</x:v>
      </x:c>
    </x:row>
    <x:row r="845" hidden="1">
      <x:c r="A845" s="31" t="s">
        <x:v>552</x:v>
      </x:c>
      <x:c r="B845" s="25">
        <x:v>46082</x:v>
      </x:c>
      <x:c r="C845" s="45" t="str">
        <x:f t="shared" si="13"/>
        <x:v>MARÇO</x:v>
      </x:c>
      <x:c r="D845" s="31" t="s">
        <x:v>227</x:v>
      </x:c>
      <x:c r="E845" s="31" t="s">
        <x:v>511</x:v>
      </x:c>
      <x:c r="F845" s="31" t="s">
        <x:v>314</x:v>
      </x:c>
      <x:c r="G845" s="44">
        <x:v>-3811.13</x:v>
      </x:c>
      <x:c r="H845" s="31" t="s">
        <x:v>82</x:v>
      </x:c>
      <x:c r="I845" s="31" t="s">
        <x:v>311</x:v>
      </x:c>
      <x:c r="J845" s="31" t="s">
        <x:v>553</x:v>
      </x:c>
      <x:c r="K845" s="22" t="s">
        <x:v>11</x:v>
      </x:c>
    </x:row>
    <x:row r="846" hidden="1">
      <x:c r="A846" s="24" t="s">
        <x:v>325</x:v>
      </x:c>
      <x:c r="B846" s="25">
        <x:v>46082</x:v>
      </x:c>
      <x:c r="C846" s="45" t="str">
        <x:f t="shared" si="13"/>
        <x:v>MARÇO</x:v>
      </x:c>
      <x:c r="D846" s="24" t="s">
        <x:v>227</x:v>
      </x:c>
      <x:c r="E846" s="24" t="s">
        <x:v>24</x:v>
      </x:c>
      <x:c r="F846" s="24" t="s">
        <x:v>66</x:v>
      </x:c>
      <x:c r="G846" s="44">
        <x:v>-200</x:v>
      </x:c>
      <x:c r="H846" s="24" t="s">
        <x:v>82</x:v>
      </x:c>
      <x:c r="I846" s="24" t="s">
        <x:v>311</x:v>
      </x:c>
      <x:c r="J846" s="24" t="s">
        <x:v>554</x:v>
      </x:c>
      <x:c r="K846" s="22" t="s">
        <x:v>11</x:v>
      </x:c>
    </x:row>
    <x:row r="847" hidden="1">
      <x:c r="A847" s="24" t="s">
        <x:v>325</x:v>
      </x:c>
      <x:c r="B847" s="25">
        <x:v>46082</x:v>
      </x:c>
      <x:c r="C847" s="45" t="str">
        <x:f t="shared" si="13"/>
        <x:v>MARÇO</x:v>
      </x:c>
      <x:c r="D847" s="24" t="s">
        <x:v>227</x:v>
      </x:c>
      <x:c r="E847" s="24" t="s">
        <x:v>317</x:v>
      </x:c>
      <x:c r="F847" s="24" t="s">
        <x:v>44</x:v>
      </x:c>
      <x:c r="G847" s="44">
        <x:v>-120</x:v>
      </x:c>
      <x:c r="H847" s="24" t="s">
        <x:v>82</x:v>
      </x:c>
      <x:c r="I847" s="24" t="s">
        <x:v>311</x:v>
      </x:c>
      <x:c r="J847" s="24" t="s">
        <x:v>554</x:v>
      </x:c>
      <x:c r="K847" s="22" t="s">
        <x:v>11</x:v>
      </x:c>
    </x:row>
    <x:row r="848" hidden="1">
      <x:c r="A848" s="24" t="s">
        <x:v>555</x:v>
      </x:c>
      <x:c r="B848" s="25">
        <x:v>46082</x:v>
      </x:c>
      <x:c r="C848" s="45" t="str">
        <x:f t="shared" si="13"/>
        <x:v>MARÇO</x:v>
      </x:c>
      <x:c r="D848" s="24" t="s">
        <x:v>227</x:v>
      </x:c>
      <x:c r="E848" s="24" t="s">
        <x:v>317</x:v>
      </x:c>
      <x:c r="F848" s="24" t="s">
        <x:v>44</x:v>
      </x:c>
      <x:c r="G848" s="44">
        <x:v>-126</x:v>
      </x:c>
      <x:c r="H848" s="24" t="s">
        <x:v>82</x:v>
      </x:c>
      <x:c r="I848" s="24" t="s">
        <x:v>311</x:v>
      </x:c>
      <x:c r="J848" s="24" t="s">
        <x:v>554</x:v>
      </x:c>
      <x:c r="K848" s="22" t="s">
        <x:v>11</x:v>
      </x:c>
    </x:row>
    <x:row r="849" hidden="1">
      <x:c r="A849" s="24" t="s">
        <x:v>556</x:v>
      </x:c>
      <x:c r="B849" s="25">
        <x:v>46082</x:v>
      </x:c>
      <x:c r="C849" s="45" t="str">
        <x:f t="shared" si="13"/>
        <x:v>MARÇO</x:v>
      </x:c>
      <x:c r="D849" s="24" t="s">
        <x:v>89</x:v>
      </x:c>
      <x:c r="E849" s="24" t="s">
        <x:v>467</x:v>
      </x:c>
      <x:c r="F849" s="24" t="s">
        <x:v>314</x:v>
      </x:c>
      <x:c r="G849" s="44">
        <x:v>3799.4</x:v>
      </x:c>
      <x:c r="H849" s="24" t="s">
        <x:v>91</x:v>
      </x:c>
      <x:c r="I849" s="24" t="s">
        <x:v>311</x:v>
      </x:c>
      <x:c r="J849" s="24" t="s">
        <x:v>557</x:v>
      </x:c>
      <x:c r="K849" s="22" t="s">
        <x:v>11</x:v>
      </x:c>
    </x:row>
    <x:row r="850" hidden="1">
      <x:c r="A850" s="24" t="s">
        <x:v>558</x:v>
      </x:c>
      <x:c r="B850" s="25">
        <x:v>46082</x:v>
      </x:c>
      <x:c r="C850" s="45" t="str">
        <x:f t="shared" si="13"/>
        <x:v>MARÇO</x:v>
      </x:c>
      <x:c r="D850" s="24" t="s">
        <x:v>89</x:v>
      </x:c>
      <x:c r="E850" s="24" t="s">
        <x:v>374</x:v>
      </x:c>
      <x:c r="F850" s="24" t="s">
        <x:v>65</x:v>
      </x:c>
      <x:c r="G850" s="44">
        <x:v>9831.7999999999993</x:v>
      </x:c>
      <x:c r="H850" s="24" t="s">
        <x:v>91</x:v>
      </x:c>
      <x:c r="I850" s="24" t="s">
        <x:v>311</x:v>
      </x:c>
      <x:c r="J850" s="23">
        <x:v>46082</x:v>
      </x:c>
      <x:c r="K850" s="22" t="s">
        <x:v>11</x:v>
      </x:c>
    </x:row>
    <x:row r="851" hidden="1">
      <x:c r="A851" s="24" t="s">
        <x:v>559</x:v>
      </x:c>
      <x:c r="B851" s="25">
        <x:v>46082</x:v>
      </x:c>
      <x:c r="C851" s="45" t="str">
        <x:f t="shared" si="13"/>
        <x:v>MARÇO</x:v>
      </x:c>
      <x:c r="D851" s="24" t="s">
        <x:v>89</x:v>
      </x:c>
      <x:c r="E851" s="24" t="s">
        <x:v>346</x:v>
      </x:c>
      <x:c r="F851" s="24" t="s">
        <x:v>59</x:v>
      </x:c>
      <x:c r="G851" s="44">
        <x:v>12862</x:v>
      </x:c>
      <x:c r="H851" s="24" t="s">
        <x:v>91</x:v>
      </x:c>
      <x:c r="I851" s="24" t="s">
        <x:v>311</x:v>
      </x:c>
      <x:c r="J851" s="24" t="s">
        <x:v>557</x:v>
      </x:c>
      <x:c r="K851" s="22" t="s">
        <x:v>11</x:v>
      </x:c>
    </x:row>
    <x:row r="852" hidden="1">
      <x:c r="A852" s="24" t="s">
        <x:v>560</x:v>
      </x:c>
      <x:c r="B852" s="25">
        <x:v>46082</x:v>
      </x:c>
      <x:c r="C852" s="45" t="str">
        <x:f t="shared" si="13"/>
        <x:v>MARÇO</x:v>
      </x:c>
      <x:c r="D852" s="24" t="s">
        <x:v>89</x:v>
      </x:c>
      <x:c r="E852" s="24" t="s">
        <x:v>321</x:v>
      </x:c>
      <x:c r="F852" s="24" t="s">
        <x:v>66</x:v>
      </x:c>
      <x:c r="G852" s="44">
        <x:v>9450.2999999999993</x:v>
      </x:c>
      <x:c r="H852" s="24" t="s">
        <x:v>91</x:v>
      </x:c>
      <x:c r="I852" s="24" t="s">
        <x:v>311</x:v>
      </x:c>
      <x:c r="J852" s="24" t="s">
        <x:v>554</x:v>
      </x:c>
      <x:c r="K852" s="22" t="s">
        <x:v>11</x:v>
      </x:c>
    </x:row>
    <x:row r="853" hidden="1">
      <x:c r="A853" s="24" t="s">
        <x:v>397</x:v>
      </x:c>
      <x:c r="B853" s="25">
        <x:v>46082</x:v>
      </x:c>
      <x:c r="C853" s="45" t="str">
        <x:f t="shared" si="13"/>
        <x:v>MARÇO</x:v>
      </x:c>
      <x:c r="D853" s="24" t="s">
        <x:v>183</x:v>
      </x:c>
      <x:c r="E853" s="24" t="s">
        <x:v>183</x:v>
      </x:c>
      <x:c r="F853" s="24" t="s">
        <x:v>314</x:v>
      </x:c>
      <x:c r="G853" s="44">
        <x:v>-2500</x:v>
      </x:c>
      <x:c r="H853" s="24" t="s">
        <x:v>82</x:v>
      </x:c>
      <x:c r="I853" s="24" t="s">
        <x:v>311</x:v>
      </x:c>
      <x:c r="J853" s="24" t="s">
        <x:v>554</x:v>
      </x:c>
      <x:c r="K853" s="22" t="s">
        <x:v>11</x:v>
      </x:c>
    </x:row>
    <x:row r="854" hidden="1">
      <x:c r="A854" s="24" t="s">
        <x:v>397</x:v>
      </x:c>
      <x:c r="B854" s="25">
        <x:v>46082</x:v>
      </x:c>
      <x:c r="C854" s="45" t="str">
        <x:f t="shared" si="13"/>
        <x:v>MARÇO</x:v>
      </x:c>
      <x:c r="D854" s="24" t="s">
        <x:v>183</x:v>
      </x:c>
      <x:c r="E854" s="24" t="s">
        <x:v>183</x:v>
      </x:c>
      <x:c r="F854" s="24" t="s">
        <x:v>59</x:v>
      </x:c>
      <x:c r="G854" s="44">
        <x:v>-2500</x:v>
      </x:c>
      <x:c r="H854" s="24" t="s">
        <x:v>82</x:v>
      </x:c>
      <x:c r="I854" s="24" t="s">
        <x:v>311</x:v>
      </x:c>
      <x:c r="J854" s="24" t="s">
        <x:v>554</x:v>
      </x:c>
      <x:c r="K854" s="22" t="s">
        <x:v>11</x:v>
      </x:c>
    </x:row>
    <x:row r="855" hidden="1">
      <x:c r="A855" s="24" t="s">
        <x:v>397</x:v>
      </x:c>
      <x:c r="B855" s="25">
        <x:v>46082</x:v>
      </x:c>
      <x:c r="C855" s="45" t="str">
        <x:f t="shared" si="13"/>
        <x:v>MARÇO</x:v>
      </x:c>
      <x:c r="D855" s="24" t="s">
        <x:v>183</x:v>
      </x:c>
      <x:c r="E855" s="24" t="s">
        <x:v>183</x:v>
      </x:c>
      <x:c r="F855" s="24" t="s">
        <x:v>44</x:v>
      </x:c>
      <x:c r="G855" s="44">
        <x:v>-2500</x:v>
      </x:c>
      <x:c r="H855" s="24" t="s">
        <x:v>82</x:v>
      </x:c>
      <x:c r="I855" s="24" t="s">
        <x:v>311</x:v>
      </x:c>
      <x:c r="J855" s="24" t="s">
        <x:v>554</x:v>
      </x:c>
      <x:c r="K855" s="22" t="s">
        <x:v>11</x:v>
      </x:c>
    </x:row>
    <x:row r="856" hidden="1">
      <x:c r="A856" s="24" t="s">
        <x:v>397</x:v>
      </x:c>
      <x:c r="B856" s="25">
        <x:v>46082</x:v>
      </x:c>
      <x:c r="C856" s="45" t="str">
        <x:f t="shared" si="13"/>
        <x:v>MARÇO</x:v>
      </x:c>
      <x:c r="D856" s="24" t="s">
        <x:v>183</x:v>
      </x:c>
      <x:c r="E856" s="24" t="s">
        <x:v>183</x:v>
      </x:c>
      <x:c r="F856" s="24" t="s">
        <x:v>66</x:v>
      </x:c>
      <x:c r="G856" s="44">
        <x:v>-2500</x:v>
      </x:c>
      <x:c r="H856" s="24" t="s">
        <x:v>82</x:v>
      </x:c>
      <x:c r="I856" s="24" t="s">
        <x:v>311</x:v>
      </x:c>
      <x:c r="J856" s="24" t="s">
        <x:v>554</x:v>
      </x:c>
      <x:c r="K856" s="22" t="s">
        <x:v>11</x:v>
      </x:c>
    </x:row>
    <x:row r="857" hidden="1">
      <x:c r="A857" s="24" t="s">
        <x:v>397</x:v>
      </x:c>
      <x:c r="B857" s="25">
        <x:v>46082</x:v>
      </x:c>
      <x:c r="C857" s="45" t="str">
        <x:f t="shared" si="13"/>
        <x:v>MARÇO</x:v>
      </x:c>
      <x:c r="D857" s="24" t="s">
        <x:v>183</x:v>
      </x:c>
      <x:c r="E857" s="24" t="s">
        <x:v>183</x:v>
      </x:c>
      <x:c r="F857" s="24" t="s">
        <x:v>65</x:v>
      </x:c>
      <x:c r="G857" s="44">
        <x:v>-2500</x:v>
      </x:c>
      <x:c r="H857" s="24" t="s">
        <x:v>82</x:v>
      </x:c>
      <x:c r="I857" s="24" t="s">
        <x:v>311</x:v>
      </x:c>
      <x:c r="J857" s="24" t="s">
        <x:v>554</x:v>
      </x:c>
      <x:c r="K857" s="22" t="s">
        <x:v>11</x:v>
      </x:c>
    </x:row>
    <x:row r="858" hidden="1">
      <x:c r="A858" s="24" t="s">
        <x:v>325</x:v>
      </x:c>
      <x:c r="B858" s="25">
        <x:v>46082</x:v>
      </x:c>
      <x:c r="C858" s="45" t="str">
        <x:f t="shared" si="13"/>
        <x:v>MARÇO</x:v>
      </x:c>
      <x:c r="D858" s="24" t="s">
        <x:v>227</x:v>
      </x:c>
      <x:c r="E858" s="24" t="s">
        <x:v>561</x:v>
      </x:c>
      <x:c r="F858" s="24" t="s">
        <x:v>314</x:v>
      </x:c>
      <x:c r="G858" s="44">
        <x:v>-1000</x:v>
      </x:c>
      <x:c r="H858" s="24" t="s">
        <x:v>82</x:v>
      </x:c>
      <x:c r="I858" s="24" t="s">
        <x:v>311</x:v>
      </x:c>
      <x:c r="J858" s="24" t="s">
        <x:v>476</x:v>
      </x:c>
      <x:c r="K858" s="22" t="s">
        <x:v>11</x:v>
      </x:c>
    </x:row>
    <x:row r="859" hidden="1">
      <x:c r="A859" s="24" t="s">
        <x:v>112</x:v>
      </x:c>
      <x:c r="B859" s="25">
        <x:v>46082</x:v>
      </x:c>
      <x:c r="C859" s="45" t="str">
        <x:f t="shared" si="13"/>
        <x:v>MARÇO</x:v>
      </x:c>
      <x:c r="D859" s="24" t="s">
        <x:v>112</x:v>
      </x:c>
      <x:c r="E859" s="24" t="s">
        <x:v>333</x:v>
      </x:c>
      <x:c r="F859" s="24" t="s">
        <x:v>314</x:v>
      </x:c>
      <x:c r="G859" s="44">
        <x:v>-28000</x:v>
      </x:c>
      <x:c r="H859" s="24" t="s">
        <x:v>82</x:v>
      </x:c>
      <x:c r="I859" s="24" t="s">
        <x:v>311</x:v>
      </x:c>
      <x:c r="J859" s="24" t="s">
        <x:v>562</x:v>
      </x:c>
      <x:c r="K859" s="22" t="s">
        <x:v>11</x:v>
      </x:c>
    </x:row>
    <x:row r="860" hidden="1">
      <x:c r="A860" s="24" t="s">
        <x:v>454</x:v>
      </x:c>
      <x:c r="B860" s="25">
        <x:v>46054</x:v>
      </x:c>
      <x:c r="C860" s="45" t="str">
        <x:f t="shared" si="13"/>
        <x:v>FEVEREIRO</x:v>
      </x:c>
      <x:c r="D860" s="24" t="s">
        <x:v>80</x:v>
      </x:c>
      <x:c r="E860" s="24" t="s">
        <x:v>10</x:v>
      </x:c>
      <x:c r="F860" s="24" t="s">
        <x:v>314</x:v>
      </x:c>
      <x:c r="G860" s="44">
        <x:v>-52.07</x:v>
      </x:c>
      <x:c r="H860" s="24" t="s">
        <x:v>82</x:v>
      </x:c>
      <x:c r="I860" s="24" t="s">
        <x:v>311</x:v>
      </x:c>
      <x:c r="J860" s="24" t="s">
        <x:v>562</x:v>
      </x:c>
      <x:c r="K860" s="22" t="s">
        <x:v>11</x:v>
      </x:c>
    </x:row>
    <x:row r="861" hidden="1">
      <x:c r="A861" s="24" t="s">
        <x:v>454</x:v>
      </x:c>
      <x:c r="B861" s="25">
        <x:v>46054</x:v>
      </x:c>
      <x:c r="C861" s="45" t="str">
        <x:f t="shared" si="13"/>
        <x:v>FEVEREIRO</x:v>
      </x:c>
      <x:c r="D861" s="24" t="s">
        <x:v>80</x:v>
      </x:c>
      <x:c r="E861" s="24" t="s">
        <x:v>58</x:v>
      </x:c>
      <x:c r="F861" s="24" t="s">
        <x:v>59</x:v>
      </x:c>
      <x:c r="G861" s="44">
        <x:v>-52.07</x:v>
      </x:c>
      <x:c r="H861" s="24" t="s">
        <x:v>82</x:v>
      </x:c>
      <x:c r="I861" s="24" t="s">
        <x:v>311</x:v>
      </x:c>
      <x:c r="J861" s="24" t="s">
        <x:v>562</x:v>
      </x:c>
      <x:c r="K861" s="22" t="s">
        <x:v>11</x:v>
      </x:c>
    </x:row>
    <x:row r="862" hidden="1">
      <x:c r="A862" s="24" t="s">
        <x:v>454</x:v>
      </x:c>
      <x:c r="B862" s="25">
        <x:v>46054</x:v>
      </x:c>
      <x:c r="C862" s="45" t="str">
        <x:f t="shared" si="13"/>
        <x:v>FEVEREIRO</x:v>
      </x:c>
      <x:c r="D862" s="24" t="s">
        <x:v>80</x:v>
      </x:c>
      <x:c r="E862" s="24" t="s">
        <x:v>24</x:v>
      </x:c>
      <x:c r="F862" s="24" t="s">
        <x:v>66</x:v>
      </x:c>
      <x:c r="G862" s="44">
        <x:v>-52.07</x:v>
      </x:c>
      <x:c r="H862" s="24" t="s">
        <x:v>82</x:v>
      </x:c>
      <x:c r="I862" s="24" t="s">
        <x:v>311</x:v>
      </x:c>
      <x:c r="J862" s="24" t="s">
        <x:v>562</x:v>
      </x:c>
      <x:c r="K862" s="22" t="s">
        <x:v>11</x:v>
      </x:c>
    </x:row>
    <x:row r="863" hidden="1">
      <x:c r="A863" s="24" t="s">
        <x:v>454</x:v>
      </x:c>
      <x:c r="B863" s="25">
        <x:v>46054</x:v>
      </x:c>
      <x:c r="C863" s="45" t="str">
        <x:f t="shared" si="13"/>
        <x:v>FEVEREIRO</x:v>
      </x:c>
      <x:c r="D863" s="24" t="s">
        <x:v>80</x:v>
      </x:c>
      <x:c r="E863" s="24" t="s">
        <x:v>23</x:v>
      </x:c>
      <x:c r="F863" s="24" t="s">
        <x:v>65</x:v>
      </x:c>
      <x:c r="G863" s="44">
        <x:v>-52.07</x:v>
      </x:c>
      <x:c r="H863" s="24" t="s">
        <x:v>82</x:v>
      </x:c>
      <x:c r="I863" s="24" t="s">
        <x:v>311</x:v>
      </x:c>
      <x:c r="J863" s="24" t="s">
        <x:v>562</x:v>
      </x:c>
      <x:c r="K863" s="22" t="s">
        <x:v>11</x:v>
      </x:c>
    </x:row>
    <x:row r="864" hidden="1">
      <x:c r="A864" s="24" t="s">
        <x:v>454</x:v>
      </x:c>
      <x:c r="B864" s="25">
        <x:v>46054</x:v>
      </x:c>
      <x:c r="C864" s="45" t="str">
        <x:f t="shared" si="13"/>
        <x:v>FEVEREIRO</x:v>
      </x:c>
      <x:c r="D864" s="24" t="s">
        <x:v>80</x:v>
      </x:c>
      <x:c r="E864" s="24" t="s">
        <x:v>563</x:v>
      </x:c>
      <x:c r="F864" s="24" t="s">
        <x:v>44</x:v>
      </x:c>
      <x:c r="G864" s="44">
        <x:v>-52.07</x:v>
      </x:c>
      <x:c r="H864" s="24" t="s">
        <x:v>82</x:v>
      </x:c>
      <x:c r="I864" s="24" t="s">
        <x:v>311</x:v>
      </x:c>
      <x:c r="J864" s="24" t="s">
        <x:v>562</x:v>
      </x:c>
      <x:c r="K864" s="22" t="s">
        <x:v>11</x:v>
      </x:c>
    </x:row>
    <x:row r="865" hidden="1">
      <x:c r="A865" s="24" t="s">
        <x:v>115</x:v>
      </x:c>
      <x:c r="B865" s="25">
        <x:v>46082</x:v>
      </x:c>
      <x:c r="C865" s="45" t="str">
        <x:f t="shared" si="13"/>
        <x:v>MARÇO</x:v>
      </x:c>
      <x:c r="D865" s="24" t="s">
        <x:v>116</x:v>
      </x:c>
      <x:c r="E865" s="24" t="s">
        <x:v>347</x:v>
      </x:c>
      <x:c r="F865" s="24" t="s">
        <x:v>65</x:v>
      </x:c>
      <x:c r="G865" s="44">
        <x:v>-2135.5500000000002</x:v>
      </x:c>
      <x:c r="H865" s="24" t="s">
        <x:v>82</x:v>
      </x:c>
      <x:c r="I865" s="24" t="s">
        <x:v>311</x:v>
      </x:c>
      <x:c r="J865" s="24" t="s">
        <x:v>562</x:v>
      </x:c>
      <x:c r="K865" s="22" t="s">
        <x:v>11</x:v>
      </x:c>
    </x:row>
    <x:row r="866" hidden="1">
      <x:c r="A866" s="24" t="s">
        <x:v>115</x:v>
      </x:c>
      <x:c r="B866" s="25">
        <x:v>46082</x:v>
      </x:c>
      <x:c r="C866" s="45" t="str">
        <x:f t="shared" si="13"/>
        <x:v>MARÇO</x:v>
      </x:c>
      <x:c r="D866" s="24" t="s">
        <x:v>116</x:v>
      </x:c>
      <x:c r="E866" s="24" t="s">
        <x:v>347</x:v>
      </x:c>
      <x:c r="F866" s="24" t="s">
        <x:v>59</x:v>
      </x:c>
      <x:c r="G866" s="44">
        <x:v>-10755.44</x:v>
      </x:c>
      <x:c r="H866" s="24" t="s">
        <x:v>82</x:v>
      </x:c>
      <x:c r="I866" s="24" t="s">
        <x:v>311</x:v>
      </x:c>
      <x:c r="J866" s="24" t="s">
        <x:v>562</x:v>
      </x:c>
      <x:c r="K866" s="22" t="s">
        <x:v>11</x:v>
      </x:c>
    </x:row>
    <x:row r="867" hidden="1">
      <x:c r="A867" s="24" t="s">
        <x:v>115</x:v>
      </x:c>
      <x:c r="B867" s="25">
        <x:v>46082</x:v>
      </x:c>
      <x:c r="C867" s="45" t="str">
        <x:f t="shared" si="13"/>
        <x:v>MARÇO</x:v>
      </x:c>
      <x:c r="D867" s="24" t="s">
        <x:v>116</x:v>
      </x:c>
      <x:c r="E867" s="24" t="s">
        <x:v>347</x:v>
      </x:c>
      <x:c r="F867" s="24" t="s">
        <x:v>66</x:v>
      </x:c>
      <x:c r="G867" s="44">
        <x:v>-2206.5</x:v>
      </x:c>
      <x:c r="H867" s="24" t="s">
        <x:v>82</x:v>
      </x:c>
      <x:c r="I867" s="24" t="s">
        <x:v>311</x:v>
      </x:c>
      <x:c r="J867" s="24" t="s">
        <x:v>562</x:v>
      </x:c>
      <x:c r="K867" s="22" t="s">
        <x:v>11</x:v>
      </x:c>
    </x:row>
    <x:row r="868" hidden="1">
      <x:c r="A868" s="24" t="s">
        <x:v>115</x:v>
      </x:c>
      <x:c r="B868" s="25">
        <x:v>46082</x:v>
      </x:c>
      <x:c r="C868" s="45" t="str">
        <x:f t="shared" si="13"/>
        <x:v>MARÇO</x:v>
      </x:c>
      <x:c r="D868" s="24" t="s">
        <x:v>116</x:v>
      </x:c>
      <x:c r="E868" s="24" t="s">
        <x:v>347</x:v>
      </x:c>
      <x:c r="F868" s="24" t="s">
        <x:v>44</x:v>
      </x:c>
      <x:c r="G868" s="44">
        <x:v>-10330.43</x:v>
      </x:c>
      <x:c r="H868" s="24" t="s">
        <x:v>82</x:v>
      </x:c>
      <x:c r="I868" s="24" t="s">
        <x:v>311</x:v>
      </x:c>
      <x:c r="J868" s="24" t="s">
        <x:v>562</x:v>
      </x:c>
      <x:c r="K868" s="22" t="s">
        <x:v>11</x:v>
      </x:c>
    </x:row>
    <x:row r="869" hidden="1">
      <x:c r="A869" s="24" t="s">
        <x:v>564</x:v>
      </x:c>
      <x:c r="B869" s="25">
        <x:v>46082</x:v>
      </x:c>
      <x:c r="C869" s="45" t="str">
        <x:f t="shared" si="13"/>
        <x:v>MARÇO</x:v>
      </x:c>
      <x:c r="D869" s="24" t="s">
        <x:v>89</x:v>
      </x:c>
      <x:c r="E869" s="24" t="s">
        <x:v>565</x:v>
      </x:c>
      <x:c r="F869" s="24" t="s">
        <x:v>44</x:v>
      </x:c>
      <x:c r="G869" s="44">
        <x:v>11652.1</x:v>
      </x:c>
      <x:c r="H869" s="24" t="s">
        <x:v>91</x:v>
      </x:c>
      <x:c r="I869" s="24" t="s">
        <x:v>311</x:v>
      </x:c>
      <x:c r="J869" s="24" t="s">
        <x:v>562</x:v>
      </x:c>
      <x:c r="K869" s="22" t="s">
        <x:v>11</x:v>
      </x:c>
    </x:row>
    <x:row r="870" hidden="1">
      <x:c r="A870" s="24" t="s">
        <x:v>332</x:v>
      </x:c>
      <x:c r="B870" s="25">
        <x:v>46082</x:v>
      </x:c>
      <x:c r="C870" s="45" t="str">
        <x:f t="shared" si="13"/>
        <x:v>MARÇO</x:v>
      </x:c>
      <x:c r="D870" s="24" t="s">
        <x:v>165</x:v>
      </x:c>
      <x:c r="E870" s="24" t="s">
        <x:v>10</x:v>
      </x:c>
      <x:c r="F870" s="24" t="s">
        <x:v>314</x:v>
      </x:c>
      <x:c r="G870" s="44">
        <x:v>-4055.92</x:v>
      </x:c>
      <x:c r="H870" s="24" t="s">
        <x:v>82</x:v>
      </x:c>
      <x:c r="I870" s="24" t="s">
        <x:v>311</x:v>
      </x:c>
      <x:c r="J870" s="24" t="s">
        <x:v>562</x:v>
      </x:c>
      <x:c r="K870" s="22" t="s">
        <x:v>11</x:v>
      </x:c>
    </x:row>
    <x:row r="871" hidden="1">
      <x:c r="A871" s="24" t="s">
        <x:v>332</x:v>
      </x:c>
      <x:c r="B871" s="25">
        <x:v>46082</x:v>
      </x:c>
      <x:c r="C871" s="45" t="str">
        <x:f t="shared" si="13"/>
        <x:v>MARÇO</x:v>
      </x:c>
      <x:c r="D871" s="24" t="s">
        <x:v>165</x:v>
      </x:c>
      <x:c r="E871" s="24" t="s">
        <x:v>317</x:v>
      </x:c>
      <x:c r="F871" s="24" t="s">
        <x:v>44</x:v>
      </x:c>
      <x:c r="G871" s="44">
        <x:v>-4055.92</x:v>
      </x:c>
      <x:c r="H871" s="24" t="s">
        <x:v>82</x:v>
      </x:c>
      <x:c r="I871" s="24" t="s">
        <x:v>311</x:v>
      </x:c>
      <x:c r="J871" s="24" t="s">
        <x:v>562</x:v>
      </x:c>
      <x:c r="K871" s="22" t="s">
        <x:v>11</x:v>
      </x:c>
    </x:row>
    <x:row r="872" hidden="1">
      <x:c r="A872" s="24" t="s">
        <x:v>332</x:v>
      </x:c>
      <x:c r="B872" s="25">
        <x:v>46082</x:v>
      </x:c>
      <x:c r="C872" s="45" t="str">
        <x:f t="shared" si="13"/>
        <x:v>MARÇO</x:v>
      </x:c>
      <x:c r="D872" s="24" t="s">
        <x:v>165</x:v>
      </x:c>
      <x:c r="E872" s="24" t="s">
        <x:v>13</x:v>
      </x:c>
      <x:c r="F872" s="24" t="s">
        <x:v>59</x:v>
      </x:c>
      <x:c r="G872" s="44">
        <x:v>-4055.92</x:v>
      </x:c>
      <x:c r="H872" s="24" t="s">
        <x:v>82</x:v>
      </x:c>
      <x:c r="I872" s="24" t="s">
        <x:v>311</x:v>
      </x:c>
      <x:c r="J872" s="24" t="s">
        <x:v>562</x:v>
      </x:c>
      <x:c r="K872" s="22" t="s">
        <x:v>11</x:v>
      </x:c>
    </x:row>
    <x:row r="873" hidden="1">
      <x:c r="A873" s="24" t="s">
        <x:v>332</x:v>
      </x:c>
      <x:c r="B873" s="25">
        <x:v>46082</x:v>
      </x:c>
      <x:c r="C873" s="45" t="str">
        <x:f t="shared" si="13"/>
        <x:v>MARÇO</x:v>
      </x:c>
      <x:c r="D873" s="24" t="s">
        <x:v>165</x:v>
      </x:c>
      <x:c r="E873" s="24" t="s">
        <x:v>24</x:v>
      </x:c>
      <x:c r="F873" s="24" t="s">
        <x:v>66</x:v>
      </x:c>
      <x:c r="G873" s="44">
        <x:v>-4055.92</x:v>
      </x:c>
      <x:c r="H873" s="24" t="s">
        <x:v>82</x:v>
      </x:c>
      <x:c r="I873" s="24" t="s">
        <x:v>311</x:v>
      </x:c>
      <x:c r="J873" s="24" t="s">
        <x:v>562</x:v>
      </x:c>
      <x:c r="K873" s="22" t="s">
        <x:v>11</x:v>
      </x:c>
    </x:row>
    <x:row r="874" hidden="1">
      <x:c r="A874" s="24" t="s">
        <x:v>332</x:v>
      </x:c>
      <x:c r="B874" s="25">
        <x:v>46082</x:v>
      </x:c>
      <x:c r="C874" s="45" t="str">
        <x:f t="shared" si="13"/>
        <x:v>MARÇO</x:v>
      </x:c>
      <x:c r="D874" s="24" t="s">
        <x:v>165</x:v>
      </x:c>
      <x:c r="E874" s="24" t="s">
        <x:v>23</x:v>
      </x:c>
      <x:c r="F874" s="24" t="s">
        <x:v>65</x:v>
      </x:c>
      <x:c r="G874" s="44">
        <x:v>-4055.92</x:v>
      </x:c>
      <x:c r="H874" s="24" t="s">
        <x:v>82</x:v>
      </x:c>
      <x:c r="I874" s="24" t="s">
        <x:v>311</x:v>
      </x:c>
      <x:c r="J874" s="24" t="s">
        <x:v>562</x:v>
      </x:c>
      <x:c r="K874" s="22" t="s">
        <x:v>11</x:v>
      </x:c>
    </x:row>
    <x:row r="875" hidden="1">
      <x:c r="A875" s="24" t="s">
        <x:v>335</x:v>
      </x:c>
      <x:c r="B875" s="25">
        <x:v>46082</x:v>
      </x:c>
      <x:c r="C875" s="45" t="str">
        <x:f t="shared" si="13"/>
        <x:v>MARÇO</x:v>
      </x:c>
      <x:c r="D875" s="24" t="s">
        <x:v>132</x:v>
      </x:c>
      <x:c r="E875" s="24" t="s">
        <x:v>336</x:v>
      </x:c>
      <x:c r="F875" s="24" t="s">
        <x:v>44</x:v>
      </x:c>
      <x:c r="G875" s="44">
        <x:v>-2487.63</x:v>
      </x:c>
      <x:c r="H875" s="24" t="s">
        <x:v>82</x:v>
      </x:c>
      <x:c r="I875" s="24" t="s">
        <x:v>311</x:v>
      </x:c>
      <x:c r="J875" s="24" t="s">
        <x:v>562</x:v>
      </x:c>
      <x:c r="K875" s="22" t="s">
        <x:v>11</x:v>
      </x:c>
    </x:row>
    <x:row r="876" hidden="1">
      <x:c r="A876" s="24" t="s">
        <x:v>357</x:v>
      </x:c>
      <x:c r="B876" s="25">
        <x:v>46082</x:v>
      </x:c>
      <x:c r="C876" s="45" t="str">
        <x:f t="shared" si="13"/>
        <x:v>MARÇO</x:v>
      </x:c>
      <x:c r="D876" s="24" t="s">
        <x:v>227</x:v>
      </x:c>
      <x:c r="E876" s="24" t="s">
        <x:v>355</x:v>
      </x:c>
      <x:c r="F876" s="24" t="s">
        <x:v>65</x:v>
      </x:c>
      <x:c r="G876" s="44">
        <x:v>-475</x:v>
      </x:c>
      <x:c r="H876" s="24" t="s">
        <x:v>82</x:v>
      </x:c>
      <x:c r="I876" s="24" t="s">
        <x:v>311</x:v>
      </x:c>
      <x:c r="J876" s="24" t="s">
        <x:v>566</x:v>
      </x:c>
      <x:c r="K876" s="22" t="s">
        <x:v>11</x:v>
      </x:c>
    </x:row>
    <x:row r="877" hidden="1">
      <x:c r="A877" s="24" t="s">
        <x:v>365</x:v>
      </x:c>
      <x:c r="B877" s="25">
        <x:v>46082</x:v>
      </x:c>
      <x:c r="C877" s="45" t="str">
        <x:f t="shared" si="13"/>
        <x:v>MARÇO</x:v>
      </x:c>
      <x:c r="D877" s="30" t="s">
        <x:v>173</x:v>
      </x:c>
      <x:c r="E877" s="24" t="s">
        <x:v>133</x:v>
      </x:c>
      <x:c r="F877" s="24" t="s">
        <x:v>44</x:v>
      </x:c>
      <x:c r="G877" s="44">
        <x:v>-90.09</x:v>
      </x:c>
      <x:c r="H877" s="24" t="s">
        <x:v>82</x:v>
      </x:c>
      <x:c r="I877" s="24" t="s">
        <x:v>311</x:v>
      </x:c>
      <x:c r="J877" s="24" t="s">
        <x:v>566</x:v>
      </x:c>
      <x:c r="K877" s="22" t="s">
        <x:v>11</x:v>
      </x:c>
    </x:row>
    <x:row r="878" hidden="1">
      <x:c r="A878" s="24" t="s">
        <x:v>365</x:v>
      </x:c>
      <x:c r="B878" s="25">
        <x:v>46082</x:v>
      </x:c>
      <x:c r="C878" s="45" t="str">
        <x:f t="shared" si="13"/>
        <x:v>MARÇO</x:v>
      </x:c>
      <x:c r="D878" s="30" t="s">
        <x:v>173</x:v>
      </x:c>
      <x:c r="E878" s="24" t="s">
        <x:v>133</x:v>
      </x:c>
      <x:c r="F878" s="24" t="s">
        <x:v>59</x:v>
      </x:c>
      <x:c r="G878" s="44">
        <x:v>-90.09</x:v>
      </x:c>
      <x:c r="H878" s="24" t="s">
        <x:v>82</x:v>
      </x:c>
      <x:c r="I878" s="24" t="s">
        <x:v>311</x:v>
      </x:c>
      <x:c r="J878" s="24" t="s">
        <x:v>566</x:v>
      </x:c>
      <x:c r="K878" s="22" t="s">
        <x:v>11</x:v>
      </x:c>
    </x:row>
    <x:row r="879" hidden="1">
      <x:c r="A879" s="24" t="s">
        <x:v>309</x:v>
      </x:c>
      <x:c r="B879" s="25">
        <x:v>46082</x:v>
      </x:c>
      <x:c r="C879" s="45" t="str">
        <x:f t="shared" si="13"/>
        <x:v>MARÇO</x:v>
      </x:c>
      <x:c r="D879" s="24" t="s">
        <x:v>227</x:v>
      </x:c>
      <x:c r="E879" s="24" t="s">
        <x:v>310</x:v>
      </x:c>
      <x:c r="F879" s="24" t="s">
        <x:v>66</x:v>
      </x:c>
      <x:c r="G879" s="44">
        <x:v>-961.14</x:v>
      </x:c>
      <x:c r="H879" s="24" t="s">
        <x:v>82</x:v>
      </x:c>
      <x:c r="I879" s="24" t="s">
        <x:v>311</x:v>
      </x:c>
      <x:c r="J879" s="24" t="s">
        <x:v>566</x:v>
      </x:c>
      <x:c r="K879" s="22" t="s">
        <x:v>11</x:v>
      </x:c>
    </x:row>
    <x:row r="880" hidden="1">
      <x:c r="A880" s="24" t="s">
        <x:v>309</x:v>
      </x:c>
      <x:c r="B880" s="25">
        <x:v>46082</x:v>
      </x:c>
      <x:c r="C880" s="45" t="str">
        <x:f t="shared" si="13"/>
        <x:v>MARÇO</x:v>
      </x:c>
      <x:c r="D880" s="24" t="s">
        <x:v>227</x:v>
      </x:c>
      <x:c r="E880" s="24" t="s">
        <x:v>567</x:v>
      </x:c>
      <x:c r="F880" s="24" t="s">
        <x:v>314</x:v>
      </x:c>
      <x:c r="G880" s="44">
        <x:v>-7349.37</x:v>
      </x:c>
      <x:c r="H880" s="24" t="s">
        <x:v>82</x:v>
      </x:c>
      <x:c r="I880" s="24" t="s">
        <x:v>311</x:v>
      </x:c>
      <x:c r="J880" s="24" t="s">
        <x:v>566</x:v>
      </x:c>
      <x:c r="K880" s="22" t="s">
        <x:v>11</x:v>
      </x:c>
    </x:row>
    <x:row r="881" hidden="1">
      <x:c r="A881" s="24" t="s">
        <x:v>309</x:v>
      </x:c>
      <x:c r="B881" s="25">
        <x:v>46082</x:v>
      </x:c>
      <x:c r="C881" s="45" t="str">
        <x:f t="shared" si="13"/>
        <x:v>MARÇO</x:v>
      </x:c>
      <x:c r="D881" s="24" t="s">
        <x:v>227</x:v>
      </x:c>
      <x:c r="E881" s="24" t="s">
        <x:v>567</x:v>
      </x:c>
      <x:c r="F881" s="24" t="s">
        <x:v>59</x:v>
      </x:c>
      <x:c r="G881" s="44">
        <x:v>-10389.469999999999</x:v>
      </x:c>
      <x:c r="H881" s="24" t="s">
        <x:v>82</x:v>
      </x:c>
      <x:c r="I881" s="24" t="s">
        <x:v>311</x:v>
      </x:c>
      <x:c r="J881" s="24" t="s">
        <x:v>566</x:v>
      </x:c>
      <x:c r="K881" s="22" t="s">
        <x:v>11</x:v>
      </x:c>
    </x:row>
    <x:row r="882" hidden="1">
      <x:c r="A882" s="24" t="s">
        <x:v>309</x:v>
      </x:c>
      <x:c r="B882" s="25">
        <x:v>46082</x:v>
      </x:c>
      <x:c r="C882" s="45" t="str">
        <x:f t="shared" si="13"/>
        <x:v>MARÇO</x:v>
      </x:c>
      <x:c r="D882" s="24" t="s">
        <x:v>227</x:v>
      </x:c>
      <x:c r="E882" s="24" t="s">
        <x:v>567</x:v>
      </x:c>
      <x:c r="F882" s="24" t="s">
        <x:v>44</x:v>
      </x:c>
      <x:c r="G882" s="44">
        <x:v>-6133.57</x:v>
      </x:c>
      <x:c r="H882" s="24" t="s">
        <x:v>82</x:v>
      </x:c>
      <x:c r="I882" s="24" t="s">
        <x:v>311</x:v>
      </x:c>
      <x:c r="J882" s="24" t="s">
        <x:v>566</x:v>
      </x:c>
      <x:c r="K882" s="22" t="s">
        <x:v>11</x:v>
      </x:c>
    </x:row>
    <x:row r="883" hidden="1">
      <x:c r="A883" s="24" t="s">
        <x:v>309</x:v>
      </x:c>
      <x:c r="B883" s="25">
        <x:v>46082</x:v>
      </x:c>
      <x:c r="C883" s="45" t="str">
        <x:f t="shared" si="13"/>
        <x:v>MARÇO</x:v>
      </x:c>
      <x:c r="D883" s="24" t="s">
        <x:v>227</x:v>
      </x:c>
      <x:c r="E883" s="24" t="s">
        <x:v>567</x:v>
      </x:c>
      <x:c r="F883" s="24" t="s">
        <x:v>65</x:v>
      </x:c>
      <x:c r="G883" s="44">
        <x:v>-10829.09</x:v>
      </x:c>
      <x:c r="H883" s="24" t="s">
        <x:v>82</x:v>
      </x:c>
      <x:c r="I883" s="24" t="s">
        <x:v>311</x:v>
      </x:c>
      <x:c r="J883" s="24" t="s">
        <x:v>566</x:v>
      </x:c>
      <x:c r="K883" s="22" t="s">
        <x:v>11</x:v>
      </x:c>
    </x:row>
    <x:row r="884" hidden="1">
      <x:c r="A884" s="24" t="s">
        <x:v>309</x:v>
      </x:c>
      <x:c r="B884" s="25">
        <x:v>46082</x:v>
      </x:c>
      <x:c r="C884" s="45" t="str">
        <x:f t="shared" si="13"/>
        <x:v>MARÇO</x:v>
      </x:c>
      <x:c r="D884" s="24" t="s">
        <x:v>227</x:v>
      </x:c>
      <x:c r="E884" s="24" t="s">
        <x:v>567</x:v>
      </x:c>
      <x:c r="F884" s="24" t="s">
        <x:v>66</x:v>
      </x:c>
      <x:c r="G884" s="44">
        <x:v>-6700.98</x:v>
      </x:c>
      <x:c r="H884" s="24" t="s">
        <x:v>82</x:v>
      </x:c>
      <x:c r="I884" s="24" t="s">
        <x:v>311</x:v>
      </x:c>
      <x:c r="J884" s="24" t="s">
        <x:v>566</x:v>
      </x:c>
      <x:c r="K884" s="22" t="s">
        <x:v>11</x:v>
      </x:c>
    </x:row>
    <x:row r="885" hidden="1">
      <x:c r="A885" s="24" t="s">
        <x:v>568</x:v>
      </x:c>
      <x:c r="B885" s="25">
        <x:v>46082</x:v>
      </x:c>
      <x:c r="C885" s="45" t="str">
        <x:f t="shared" si="13"/>
        <x:v>MARÇO</x:v>
      </x:c>
      <x:c r="D885" s="24" t="s">
        <x:v>89</x:v>
      </x:c>
      <x:c r="E885" s="24" t="s">
        <x:v>413</x:v>
      </x:c>
      <x:c r="F885" s="24" t="s">
        <x:v>59</x:v>
      </x:c>
      <x:c r="G885" s="44">
        <x:v>12317</x:v>
      </x:c>
      <x:c r="H885" s="24" t="s">
        <x:v>91</x:v>
      </x:c>
      <x:c r="I885" s="24" t="s">
        <x:v>311</x:v>
      </x:c>
      <x:c r="J885" s="24" t="s">
        <x:v>566</x:v>
      </x:c>
      <x:c r="K885" s="22" t="s">
        <x:v>11</x:v>
      </x:c>
    </x:row>
    <x:row r="886" hidden="1">
      <x:c r="A886" s="24" t="s">
        <x:v>569</x:v>
      </x:c>
      <x:c r="B886" s="25">
        <x:v>46082</x:v>
      </x:c>
      <x:c r="C886" s="45" t="str">
        <x:f t="shared" si="13"/>
        <x:v>MARÇO</x:v>
      </x:c>
      <x:c r="D886" s="24" t="s">
        <x:v>89</x:v>
      </x:c>
      <x:c r="E886" s="24" t="s">
        <x:v>570</x:v>
      </x:c>
      <x:c r="F886" s="24" t="s">
        <x:v>65</x:v>
      </x:c>
      <x:c r="G886" s="44">
        <x:v>9831.7999999999993</x:v>
      </x:c>
      <x:c r="H886" s="24" t="s">
        <x:v>91</x:v>
      </x:c>
      <x:c r="I886" s="24" t="s">
        <x:v>311</x:v>
      </x:c>
      <x:c r="J886" s="24" t="s">
        <x:v>566</x:v>
      </x:c>
      <x:c r="K886" s="22" t="s">
        <x:v>11</x:v>
      </x:c>
    </x:row>
    <x:row r="887" hidden="1">
      <x:c r="A887" s="24" t="s">
        <x:v>325</x:v>
      </x:c>
      <x:c r="B887" s="25">
        <x:v>46082</x:v>
      </x:c>
      <x:c r="C887" s="45" t="str">
        <x:f t="shared" si="13"/>
        <x:v>MARÇO</x:v>
      </x:c>
      <x:c r="D887" s="24" t="s">
        <x:v>227</x:v>
      </x:c>
      <x:c r="E887" s="24" t="s">
        <x:v>24</x:v>
      </x:c>
      <x:c r="F887" s="24" t="s">
        <x:v>66</x:v>
      </x:c>
      <x:c r="G887" s="44">
        <x:v>-70</x:v>
      </x:c>
      <x:c r="H887" s="24" t="s">
        <x:v>82</x:v>
      </x:c>
      <x:c r="I887" s="24" t="s">
        <x:v>311</x:v>
      </x:c>
      <x:c r="J887" s="24" t="s">
        <x:v>571</x:v>
      </x:c>
      <x:c r="K887" s="22" t="s">
        <x:v>11</x:v>
      </x:c>
    </x:row>
    <x:row r="888" hidden="1">
      <x:c r="A888" s="24" t="s">
        <x:v>572</x:v>
      </x:c>
      <x:c r="B888" s="25">
        <x:v>46082</x:v>
      </x:c>
      <x:c r="C888" s="45" t="str">
        <x:f t="shared" si="13"/>
        <x:v>MARÇO</x:v>
      </x:c>
      <x:c r="D888" s="24" t="s">
        <x:v>89</x:v>
      </x:c>
      <x:c r="E888" s="24" t="s">
        <x:v>374</x:v>
      </x:c>
      <x:c r="F888" s="24" t="s">
        <x:v>66</x:v>
      </x:c>
      <x:c r="G888" s="44">
        <x:v>10071.6</x:v>
      </x:c>
      <x:c r="H888" s="24" t="s">
        <x:v>91</x:v>
      </x:c>
      <x:c r="I888" s="24" t="s">
        <x:v>311</x:v>
      </x:c>
      <x:c r="J888" s="24" t="s">
        <x:v>571</x:v>
      </x:c>
      <x:c r="K888" s="22" t="s">
        <x:v>11</x:v>
      </x:c>
    </x:row>
    <x:row r="889" hidden="1">
      <x:c r="A889" s="24" t="s">
        <x:v>573</x:v>
      </x:c>
      <x:c r="B889" s="25">
        <x:v>46082</x:v>
      </x:c>
      <x:c r="C889" s="45" t="str">
        <x:f t="shared" si="13"/>
        <x:v>MARÇO</x:v>
      </x:c>
      <x:c r="D889" s="24" t="s">
        <x:v>89</x:v>
      </x:c>
      <x:c r="E889" s="24" t="s">
        <x:v>484</x:v>
      </x:c>
      <x:c r="F889" s="24" t="s">
        <x:v>44</x:v>
      </x:c>
      <x:c r="G889" s="44">
        <x:v>11488.6</x:v>
      </x:c>
      <x:c r="H889" s="24" t="s">
        <x:v>91</x:v>
      </x:c>
      <x:c r="I889" s="24" t="s">
        <x:v>311</x:v>
      </x:c>
      <x:c r="J889" s="24" t="s">
        <x:v>571</x:v>
      </x:c>
      <x:c r="K889" s="22" t="s">
        <x:v>11</x:v>
      </x:c>
    </x:row>
    <x:row r="890" hidden="1">
      <x:c r="A890" s="24" t="s">
        <x:v>423</x:v>
      </x:c>
      <x:c r="B890" s="25">
        <x:v>46082</x:v>
      </x:c>
      <x:c r="C890" s="45" t="str">
        <x:f t="shared" si="13"/>
        <x:v>MARÇO</x:v>
      </x:c>
      <x:c r="D890" s="24" t="s">
        <x:v>201</x:v>
      </x:c>
      <x:c r="E890" s="24" t="s">
        <x:v>202</x:v>
      </x:c>
      <x:c r="F890" s="24" t="s">
        <x:v>314</x:v>
      </x:c>
      <x:c r="G890" s="44">
        <x:v>-88.052000000000007</x:v>
      </x:c>
      <x:c r="H890" s="24" t="s">
        <x:v>82</x:v>
      </x:c>
      <x:c r="I890" s="24" t="s">
        <x:v>311</x:v>
      </x:c>
      <x:c r="J890" s="24" t="s">
        <x:v>571</x:v>
      </x:c>
      <x:c r="K890" s="22" t="s">
        <x:v>11</x:v>
      </x:c>
    </x:row>
    <x:row r="891" hidden="1">
      <x:c r="A891" s="24" t="s">
        <x:v>423</x:v>
      </x:c>
      <x:c r="B891" s="25">
        <x:v>46082</x:v>
      </x:c>
      <x:c r="C891" s="45" t="str">
        <x:f t="shared" si="13"/>
        <x:v>MARÇO</x:v>
      </x:c>
      <x:c r="D891" s="24" t="s">
        <x:v>201</x:v>
      </x:c>
      <x:c r="E891" s="24" t="s">
        <x:v>202</x:v>
      </x:c>
      <x:c r="F891" s="24" t="s">
        <x:v>59</x:v>
      </x:c>
      <x:c r="G891" s="44">
        <x:v>-88.052000000000007</x:v>
      </x:c>
      <x:c r="H891" s="24" t="s">
        <x:v>82</x:v>
      </x:c>
      <x:c r="I891" s="24" t="s">
        <x:v>311</x:v>
      </x:c>
      <x:c r="J891" s="24" t="s">
        <x:v>571</x:v>
      </x:c>
      <x:c r="K891" s="22" t="s">
        <x:v>11</x:v>
      </x:c>
    </x:row>
    <x:row r="892" hidden="1">
      <x:c r="A892" s="24" t="s">
        <x:v>423</x:v>
      </x:c>
      <x:c r="B892" s="25">
        <x:v>46082</x:v>
      </x:c>
      <x:c r="C892" s="45" t="str">
        <x:f t="shared" si="13"/>
        <x:v>MARÇO</x:v>
      </x:c>
      <x:c r="D892" s="24" t="s">
        <x:v>201</x:v>
      </x:c>
      <x:c r="E892" s="24" t="s">
        <x:v>202</x:v>
      </x:c>
      <x:c r="F892" s="24" t="s">
        <x:v>481</x:v>
      </x:c>
      <x:c r="G892" s="44">
        <x:v>-88.052000000000007</x:v>
      </x:c>
      <x:c r="H892" s="24" t="s">
        <x:v>82</x:v>
      </x:c>
      <x:c r="I892" s="24" t="s">
        <x:v>311</x:v>
      </x:c>
      <x:c r="J892" s="24" t="s">
        <x:v>571</x:v>
      </x:c>
      <x:c r="K892" s="22" t="s">
        <x:v>11</x:v>
      </x:c>
    </x:row>
    <x:row r="893" hidden="1">
      <x:c r="A893" s="24" t="s">
        <x:v>423</x:v>
      </x:c>
      <x:c r="B893" s="25">
        <x:v>46082</x:v>
      </x:c>
      <x:c r="C893" s="45" t="str">
        <x:f t="shared" si="13"/>
        <x:v>MARÇO</x:v>
      </x:c>
      <x:c r="D893" s="24" t="s">
        <x:v>201</x:v>
      </x:c>
      <x:c r="E893" s="24" t="s">
        <x:v>202</x:v>
      </x:c>
      <x:c r="F893" s="24" t="s">
        <x:v>66</x:v>
      </x:c>
      <x:c r="G893" s="44">
        <x:v>-88.052000000000007</x:v>
      </x:c>
      <x:c r="H893" s="24" t="s">
        <x:v>82</x:v>
      </x:c>
      <x:c r="I893" s="24" t="s">
        <x:v>311</x:v>
      </x:c>
      <x:c r="J893" s="24" t="s">
        <x:v>571</x:v>
      </x:c>
      <x:c r="K893" s="22" t="s">
        <x:v>11</x:v>
      </x:c>
    </x:row>
    <x:row r="894" hidden="1">
      <x:c r="A894" s="24" t="s">
        <x:v>423</x:v>
      </x:c>
      <x:c r="B894" s="25">
        <x:v>46082</x:v>
      </x:c>
      <x:c r="C894" s="45" t="str">
        <x:f t="shared" si="13"/>
        <x:v>MARÇO</x:v>
      </x:c>
      <x:c r="D894" s="24" t="s">
        <x:v>201</x:v>
      </x:c>
      <x:c r="E894" s="24" t="s">
        <x:v>202</x:v>
      </x:c>
      <x:c r="F894" s="24" t="s">
        <x:v>65</x:v>
      </x:c>
      <x:c r="G894" s="44">
        <x:v>-88.052000000000007</x:v>
      </x:c>
      <x:c r="H894" s="24" t="s">
        <x:v>82</x:v>
      </x:c>
      <x:c r="I894" s="24" t="s">
        <x:v>311</x:v>
      </x:c>
      <x:c r="J894" s="24" t="s">
        <x:v>571</x:v>
      </x:c>
      <x:c r="K894" s="22" t="s">
        <x:v>11</x:v>
      </x:c>
    </x:row>
    <x:row r="895" hidden="1">
      <x:c r="A895" s="24" t="s">
        <x:v>574</x:v>
      </x:c>
      <x:c r="B895" s="25">
        <x:v>46082</x:v>
      </x:c>
      <x:c r="C895" s="45" t="str">
        <x:f t="shared" si="13"/>
        <x:v>MARÇO</x:v>
      </x:c>
      <x:c r="D895" s="24" t="s">
        <x:v>89</x:v>
      </x:c>
      <x:c r="E895" s="24" t="s">
        <x:v>377</x:v>
      </x:c>
      <x:c r="F895" s="24" t="s">
        <x:v>314</x:v>
      </x:c>
      <x:c r="G895" s="44">
        <x:v>3614.1</x:v>
      </x:c>
      <x:c r="H895" s="24" t="s">
        <x:v>91</x:v>
      </x:c>
      <x:c r="I895" s="24" t="s">
        <x:v>311</x:v>
      </x:c>
      <x:c r="J895" s="24" t="s">
        <x:v>575</x:v>
      </x:c>
      <x:c r="K895" s="22" t="s">
        <x:v>11</x:v>
      </x:c>
    </x:row>
    <x:row r="896" hidden="1">
      <x:c r="A896" s="24" t="s">
        <x:v>325</x:v>
      </x:c>
      <x:c r="B896" s="25">
        <x:v>46082</x:v>
      </x:c>
      <x:c r="C896" s="45" t="str">
        <x:f t="shared" si="13"/>
        <x:v>MARÇO</x:v>
      </x:c>
      <x:c r="D896" s="24" t="s">
        <x:v>227</x:v>
      </x:c>
      <x:c r="E896" s="24" t="s">
        <x:v>10</x:v>
      </x:c>
      <x:c r="F896" s="24" t="s">
        <x:v>314</x:v>
      </x:c>
      <x:c r="G896" s="44">
        <x:v>-120</x:v>
      </x:c>
      <x:c r="H896" s="24" t="s">
        <x:v>82</x:v>
      </x:c>
      <x:c r="I896" s="24" t="s">
        <x:v>311</x:v>
      </x:c>
      <x:c r="J896" s="24" t="s">
        <x:v>575</x:v>
      </x:c>
      <x:c r="K896" s="22" t="s">
        <x:v>11</x:v>
      </x:c>
    </x:row>
    <x:row r="897" hidden="1">
      <x:c r="A897" s="24" t="s">
        <x:v>325</x:v>
      </x:c>
      <x:c r="B897" s="25">
        <x:v>46082</x:v>
      </x:c>
      <x:c r="C897" s="45" t="str">
        <x:f t="shared" si="13"/>
        <x:v>MARÇO</x:v>
      </x:c>
      <x:c r="D897" s="24" t="s">
        <x:v>227</x:v>
      </x:c>
      <x:c r="E897" s="24" t="s">
        <x:v>13</x:v>
      </x:c>
      <x:c r="F897" s="24" t="s">
        <x:v>59</x:v>
      </x:c>
      <x:c r="G897" s="44">
        <x:v>-100</x:v>
      </x:c>
      <x:c r="H897" s="24" t="s">
        <x:v>82</x:v>
      </x:c>
      <x:c r="I897" s="24" t="s">
        <x:v>311</x:v>
      </x:c>
      <x:c r="J897" s="24" t="s">
        <x:v>575</x:v>
      </x:c>
      <x:c r="K897" s="22" t="s">
        <x:v>11</x:v>
      </x:c>
    </x:row>
    <x:row r="898" hidden="1">
      <x:c r="A898" s="24" t="s">
        <x:v>576</x:v>
      </x:c>
      <x:c r="B898" s="25">
        <x:v>46082</x:v>
      </x:c>
      <x:c r="C898" s="45" t="str">
        <x:f t="shared" ref="C898:C961" si="14">UPPER(TEXT(B898,"MMMM"))</x:f>
        <x:v>MARCH</x:v>
      </x:c>
      <x:c r="D898" s="24" t="s">
        <x:v>89</x:v>
      </x:c>
      <x:c r="E898" s="24" t="s">
        <x:v>427</x:v>
      </x:c>
      <x:c r="F898" s="24" t="s">
        <x:v>59</x:v>
      </x:c>
      <x:c r="G898" s="44">
        <x:v>11772</x:v>
      </x:c>
      <x:c r="H898" s="24" t="s">
        <x:v>91</x:v>
      </x:c>
      <x:c r="I898" s="24" t="s">
        <x:v>311</x:v>
      </x:c>
      <x:c r="J898" s="24" t="s">
        <x:v>575</x:v>
      </x:c>
      <x:c r="K898" s="22" t="s">
        <x:v>11</x:v>
      </x:c>
    </x:row>
    <x:row r="899" hidden="1">
      <x:c r="A899" s="24" t="s">
        <x:v>325</x:v>
      </x:c>
      <x:c r="B899" s="25">
        <x:v>46082</x:v>
      </x:c>
      <x:c r="C899" s="45" t="str">
        <x:f t="shared" si="14"/>
        <x:v>MARÇO</x:v>
      </x:c>
      <x:c r="D899" s="24" t="s">
        <x:v>227</x:v>
      </x:c>
      <x:c r="E899" s="24" t="s">
        <x:v>24</x:v>
      </x:c>
      <x:c r="F899" s="24" t="s">
        <x:v>66</x:v>
      </x:c>
      <x:c r="G899" s="44">
        <x:v>-200</x:v>
      </x:c>
      <x:c r="H899" s="24" t="s">
        <x:v>82</x:v>
      </x:c>
      <x:c r="I899" s="24" t="s">
        <x:v>311</x:v>
      </x:c>
      <x:c r="J899" s="27" t="s">
        <x:v>575</x:v>
      </x:c>
      <x:c r="K899" s="22" t="s">
        <x:v>11</x:v>
      </x:c>
    </x:row>
    <x:row r="900" hidden="1">
      <x:c r="A900" s="24" t="s">
        <x:v>577</x:v>
      </x:c>
      <x:c r="B900" s="25">
        <x:v>46082</x:v>
      </x:c>
      <x:c r="C900" s="45" t="str">
        <x:f t="shared" si="14"/>
        <x:v>MARÇO</x:v>
      </x:c>
      <x:c r="D900" s="24" t="s">
        <x:v>89</x:v>
      </x:c>
      <x:c r="E900" s="24" t="s">
        <x:v>578</x:v>
      </x:c>
      <x:c r="F900" s="24" t="s">
        <x:v>314</x:v>
      </x:c>
      <x:c r="G900" s="44">
        <x:v>13189</x:v>
      </x:c>
      <x:c r="H900" s="24" t="s">
        <x:v>91</x:v>
      </x:c>
      <x:c r="I900" s="24" t="s">
        <x:v>311</x:v>
      </x:c>
      <x:c r="J900" s="24" t="s">
        <x:v>575</x:v>
      </x:c>
      <x:c r="K900" s="22" t="s">
        <x:v>11</x:v>
      </x:c>
    </x:row>
    <x:row r="901" hidden="1">
      <x:c r="A901" s="24" t="s">
        <x:v>487</x:v>
      </x:c>
      <x:c r="B901" s="25">
        <x:v>46082</x:v>
      </x:c>
      <x:c r="C901" s="45" t="str">
        <x:f t="shared" si="14"/>
        <x:v>MARÇO</x:v>
      </x:c>
      <x:c r="D901" s="24" t="s">
        <x:v>227</x:v>
      </x:c>
      <x:c r="E901" s="24" t="s">
        <x:v>488</x:v>
      </x:c>
      <x:c r="F901" s="24" t="s">
        <x:v>389</x:v>
      </x:c>
      <x:c r="G901" s="44">
        <x:v>-676</x:v>
      </x:c>
      <x:c r="H901" s="24" t="s">
        <x:v>82</x:v>
      </x:c>
      <x:c r="I901" s="24" t="s">
        <x:v>311</x:v>
      </x:c>
      <x:c r="J901" s="24" t="s">
        <x:v>579</x:v>
      </x:c>
      <x:c r="K901" s="22" t="s">
        <x:v>11</x:v>
      </x:c>
    </x:row>
    <x:row r="902" hidden="1">
      <x:c r="A902" s="24" t="s">
        <x:v>309</x:v>
      </x:c>
      <x:c r="B902" s="25">
        <x:v>46082</x:v>
      </x:c>
      <x:c r="C902" s="45" t="str">
        <x:f t="shared" si="14"/>
        <x:v>MARÇO</x:v>
      </x:c>
      <x:c r="D902" s="24" t="s">
        <x:v>227</x:v>
      </x:c>
      <x:c r="E902" s="24" t="s">
        <x:v>327</x:v>
      </x:c>
      <x:c r="F902" s="24" t="s">
        <x:v>314</x:v>
      </x:c>
      <x:c r="G902" s="44">
        <x:v>-6754.16</x:v>
      </x:c>
      <x:c r="H902" s="24" t="s">
        <x:v>82</x:v>
      </x:c>
      <x:c r="I902" s="24" t="s">
        <x:v>311</x:v>
      </x:c>
      <x:c r="J902" s="24" t="s">
        <x:v>579</x:v>
      </x:c>
      <x:c r="K902" s="22" t="s">
        <x:v>11</x:v>
      </x:c>
    </x:row>
    <x:row r="903" hidden="1">
      <x:c r="A903" s="24" t="s">
        <x:v>309</x:v>
      </x:c>
      <x:c r="B903" s="25">
        <x:v>46082</x:v>
      </x:c>
      <x:c r="C903" s="45" t="str">
        <x:f t="shared" si="14"/>
        <x:v>MARÇO</x:v>
      </x:c>
      <x:c r="D903" s="24" t="s">
        <x:v>227</x:v>
      </x:c>
      <x:c r="E903" s="24" t="s">
        <x:v>327</x:v>
      </x:c>
      <x:c r="F903" s="24" t="s">
        <x:v>59</x:v>
      </x:c>
      <x:c r="G903" s="44">
        <x:v>-10245.780000000001</x:v>
      </x:c>
      <x:c r="H903" s="24" t="s">
        <x:v>82</x:v>
      </x:c>
      <x:c r="I903" s="24" t="s">
        <x:v>311</x:v>
      </x:c>
      <x:c r="J903" s="24" t="s">
        <x:v>579</x:v>
      </x:c>
      <x:c r="K903" s="22" t="s">
        <x:v>11</x:v>
      </x:c>
    </x:row>
    <x:row r="904" hidden="1">
      <x:c r="A904" s="24" t="s">
        <x:v>309</x:v>
      </x:c>
      <x:c r="B904" s="25">
        <x:v>46082</x:v>
      </x:c>
      <x:c r="C904" s="45" t="str">
        <x:f t="shared" si="14"/>
        <x:v>MARÇO</x:v>
      </x:c>
      <x:c r="D904" s="24" t="s">
        <x:v>227</x:v>
      </x:c>
      <x:c r="E904" s="24" t="s">
        <x:v>327</x:v>
      </x:c>
      <x:c r="F904" s="24" t="s">
        <x:v>44</x:v>
      </x:c>
      <x:c r="G904" s="44">
        <x:v>-4526</x:v>
      </x:c>
      <x:c r="H904" s="24" t="s">
        <x:v>82</x:v>
      </x:c>
      <x:c r="I904" s="24" t="s">
        <x:v>311</x:v>
      </x:c>
      <x:c r="J904" s="24" t="s">
        <x:v>579</x:v>
      </x:c>
      <x:c r="K904" s="22" t="s">
        <x:v>11</x:v>
      </x:c>
    </x:row>
    <x:row r="905" hidden="1">
      <x:c r="A905" s="24" t="s">
        <x:v>309</x:v>
      </x:c>
      <x:c r="B905" s="25">
        <x:v>46082</x:v>
      </x:c>
      <x:c r="C905" s="45" t="str">
        <x:f t="shared" si="14"/>
        <x:v>MARÇO</x:v>
      </x:c>
      <x:c r="D905" s="24" t="s">
        <x:v>227</x:v>
      </x:c>
      <x:c r="E905" s="24" t="s">
        <x:v>327</x:v>
      </x:c>
      <x:c r="F905" s="24" t="s">
        <x:v>66</x:v>
      </x:c>
      <x:c r="G905" s="44">
        <x:v>-7592.88</x:v>
      </x:c>
      <x:c r="H905" s="24" t="s">
        <x:v>82</x:v>
      </x:c>
      <x:c r="I905" s="24" t="s">
        <x:v>311</x:v>
      </x:c>
      <x:c r="J905" s="24" t="s">
        <x:v>579</x:v>
      </x:c>
      <x:c r="K905" s="22" t="s">
        <x:v>11</x:v>
      </x:c>
    </x:row>
    <x:row r="906" hidden="1">
      <x:c r="A906" s="24" t="s">
        <x:v>366</x:v>
      </x:c>
      <x:c r="B906" s="25">
        <x:v>46082</x:v>
      </x:c>
      <x:c r="C906" s="45" t="str">
        <x:f t="shared" si="14"/>
        <x:v>MARÇO</x:v>
      </x:c>
      <x:c r="D906" s="24" t="s">
        <x:v>227</x:v>
      </x:c>
      <x:c r="E906" s="24" t="s">
        <x:v>388</x:v>
      </x:c>
      <x:c r="F906" s="24" t="s">
        <x:v>59</x:v>
      </x:c>
      <x:c r="G906" s="44">
        <x:v>-6490.96</x:v>
      </x:c>
      <x:c r="H906" s="24" t="s">
        <x:v>82</x:v>
      </x:c>
      <x:c r="I906" s="24" t="s">
        <x:v>311</x:v>
      </x:c>
      <x:c r="J906" s="24" t="s">
        <x:v>580</x:v>
      </x:c>
      <x:c r="K906" s="22" t="s">
        <x:v>11</x:v>
      </x:c>
    </x:row>
    <x:row r="907" hidden="1">
      <x:c r="A907" s="24" t="s">
        <x:v>115</x:v>
      </x:c>
      <x:c r="B907" s="25">
        <x:v>46082</x:v>
      </x:c>
      <x:c r="C907" s="45" t="str">
        <x:f t="shared" si="14"/>
        <x:v>MARÇO</x:v>
      </x:c>
      <x:c r="D907" s="24" t="s">
        <x:v>116</x:v>
      </x:c>
      <x:c r="E907" s="24" t="s">
        <x:v>347</x:v>
      </x:c>
      <x:c r="F907" s="24" t="s">
        <x:v>314</x:v>
      </x:c>
      <x:c r="G907" s="44">
        <x:v>-2753.11</x:v>
      </x:c>
      <x:c r="H907" s="24" t="s">
        <x:v>82</x:v>
      </x:c>
      <x:c r="I907" s="24" t="s">
        <x:v>311</x:v>
      </x:c>
      <x:c r="J907" s="24" t="s">
        <x:v>580</x:v>
      </x:c>
      <x:c r="K907" s="22" t="s">
        <x:v>11</x:v>
      </x:c>
    </x:row>
    <x:row r="908" hidden="1">
      <x:c r="A908" s="24" t="s">
        <x:v>581</x:v>
      </x:c>
      <x:c r="B908" s="25">
        <x:v>46082</x:v>
      </x:c>
      <x:c r="C908" s="45" t="str">
        <x:f t="shared" si="14"/>
        <x:v>MARÇO</x:v>
      </x:c>
      <x:c r="D908" s="24" t="s">
        <x:v>89</x:v>
      </x:c>
      <x:c r="E908" s="24" t="s">
        <x:v>346</x:v>
      </x:c>
      <x:c r="F908" s="24" t="s">
        <x:v>66</x:v>
      </x:c>
      <x:c r="G908" s="44">
        <x:v>10180.6</x:v>
      </x:c>
      <x:c r="H908" s="24" t="s">
        <x:v>91</x:v>
      </x:c>
      <x:c r="I908" s="24" t="s">
        <x:v>311</x:v>
      </x:c>
      <x:c r="J908" s="24" t="s">
        <x:v>580</x:v>
      </x:c>
      <x:c r="K908" s="22" t="s">
        <x:v>11</x:v>
      </x:c>
    </x:row>
    <x:row r="909" hidden="1">
      <x:c r="A909" s="24" t="s">
        <x:v>582</x:v>
      </x:c>
      <x:c r="B909" s="25">
        <x:v>46082</x:v>
      </x:c>
      <x:c r="C909" s="45" t="str">
        <x:f t="shared" si="14"/>
        <x:v>MARÇO</x:v>
      </x:c>
      <x:c r="D909" s="24" t="s">
        <x:v>89</x:v>
      </x:c>
      <x:c r="E909" s="24" t="s">
        <x:v>427</x:v>
      </x:c>
      <x:c r="F909" s="24" t="s">
        <x:v>59</x:v>
      </x:c>
      <x:c r="G909" s="44">
        <x:v>12033.6</x:v>
      </x:c>
      <x:c r="H909" s="24" t="s">
        <x:v>91</x:v>
      </x:c>
      <x:c r="I909" s="24" t="s">
        <x:v>311</x:v>
      </x:c>
      <x:c r="J909" s="24" t="s">
        <x:v>580</x:v>
      </x:c>
      <x:c r="K909" s="22" t="s">
        <x:v>11</x:v>
      </x:c>
    </x:row>
    <x:row r="910" hidden="1">
      <x:c r="A910" s="24" t="s">
        <x:v>325</x:v>
      </x:c>
      <x:c r="B910" s="25">
        <x:v>46082</x:v>
      </x:c>
      <x:c r="C910" s="45" t="str">
        <x:f t="shared" si="14"/>
        <x:v>MARÇO</x:v>
      </x:c>
      <x:c r="D910" s="24" t="s">
        <x:v>227</x:v>
      </x:c>
      <x:c r="E910" s="24" t="s">
        <x:v>23</x:v>
      </x:c>
      <x:c r="F910" s="24" t="s">
        <x:v>65</x:v>
      </x:c>
      <x:c r="G910" s="44">
        <x:v>-180</x:v>
      </x:c>
      <x:c r="H910" s="24" t="s">
        <x:v>91</x:v>
      </x:c>
      <x:c r="I910" s="24" t="s">
        <x:v>311</x:v>
      </x:c>
      <x:c r="J910" s="24" t="s">
        <x:v>580</x:v>
      </x:c>
      <x:c r="K910" s="22" t="s">
        <x:v>11</x:v>
      </x:c>
    </x:row>
    <x:row r="911" hidden="1">
      <x:c r="A911" s="24" t="s">
        <x:v>325</x:v>
      </x:c>
      <x:c r="B911" s="25">
        <x:v>46082</x:v>
      </x:c>
      <x:c r="C911" s="45" t="str">
        <x:f t="shared" si="14"/>
        <x:v>MARÇO</x:v>
      </x:c>
      <x:c r="D911" s="24" t="s">
        <x:v>227</x:v>
      </x:c>
      <x:c r="E911" s="24" t="s">
        <x:v>13</x:v>
      </x:c>
      <x:c r="F911" s="24" t="s">
        <x:v>59</x:v>
      </x:c>
      <x:c r="G911" s="44">
        <x:v>-100</x:v>
      </x:c>
      <x:c r="H911" s="24" t="s">
        <x:v>91</x:v>
      </x:c>
      <x:c r="I911" s="24" t="s">
        <x:v>311</x:v>
      </x:c>
      <x:c r="J911" s="24" t="s">
        <x:v>580</x:v>
      </x:c>
      <x:c r="K911" s="22" t="s">
        <x:v>11</x:v>
      </x:c>
    </x:row>
    <x:row r="912" hidden="1">
      <x:c r="A912" s="24" t="s">
        <x:v>583</x:v>
      </x:c>
      <x:c r="B912" s="25">
        <x:v>46082</x:v>
      </x:c>
      <x:c r="C912" s="45" t="str">
        <x:f t="shared" si="14"/>
        <x:v>MARÇO</x:v>
      </x:c>
      <x:c r="D912" s="24" t="s">
        <x:v>89</x:v>
      </x:c>
      <x:c r="E912" s="24" t="s">
        <x:v>377</x:v>
      </x:c>
      <x:c r="F912" s="24" t="s">
        <x:v>65</x:v>
      </x:c>
      <x:c r="G912" s="44">
        <x:v>10028</x:v>
      </x:c>
      <x:c r="H912" s="24" t="s">
        <x:v>91</x:v>
      </x:c>
      <x:c r="I912" s="24" t="s">
        <x:v>311</x:v>
      </x:c>
      <x:c r="J912" s="24" t="s">
        <x:v>580</x:v>
      </x:c>
      <x:c r="K912" s="22" t="s">
        <x:v>11</x:v>
      </x:c>
    </x:row>
    <x:row r="913" hidden="1">
      <x:c r="A913" s="24" t="s">
        <x:v>325</x:v>
      </x:c>
      <x:c r="B913" s="25">
        <x:v>46082</x:v>
      </x:c>
      <x:c r="C913" s="45" t="str">
        <x:f t="shared" si="14"/>
        <x:v>MARÇO</x:v>
      </x:c>
      <x:c r="D913" s="24" t="s">
        <x:v>227</x:v>
      </x:c>
      <x:c r="E913" s="24" t="s">
        <x:v>388</x:v>
      </x:c>
      <x:c r="F913" s="24" t="s">
        <x:v>65</x:v>
      </x:c>
      <x:c r="G913" s="44">
        <x:v>-116.82</x:v>
      </x:c>
      <x:c r="H913" s="24" t="s">
        <x:v>82</x:v>
      </x:c>
      <x:c r="I913" s="24" t="s">
        <x:v>311</x:v>
      </x:c>
      <x:c r="J913" s="27" t="s">
        <x:v>584</x:v>
      </x:c>
      <x:c r="K913" s="22" t="s">
        <x:v>11</x:v>
      </x:c>
    </x:row>
    <x:row r="914" hidden="1">
      <x:c r="A914" s="24" t="s">
        <x:v>357</x:v>
      </x:c>
      <x:c r="B914" s="25">
        <x:v>46082</x:v>
      </x:c>
      <x:c r="C914" s="45" t="str">
        <x:f t="shared" si="14"/>
        <x:v>MARÇO</x:v>
      </x:c>
      <x:c r="D914" s="24" t="s">
        <x:v>227</x:v>
      </x:c>
      <x:c r="E914" s="24" t="s">
        <x:v>355</x:v>
      </x:c>
      <x:c r="F914" s="24" t="s">
        <x:v>65</x:v>
      </x:c>
      <x:c r="G914" s="44">
        <x:v>-543.17999999999995</x:v>
      </x:c>
      <x:c r="H914" s="24" t="s">
        <x:v>82</x:v>
      </x:c>
      <x:c r="I914" s="24" t="s">
        <x:v>311</x:v>
      </x:c>
      <x:c r="J914" s="24" t="s">
        <x:v>584</x:v>
      </x:c>
      <x:c r="K914" s="22" t="s">
        <x:v>11</x:v>
      </x:c>
    </x:row>
    <x:row r="915" hidden="1">
      <x:c r="A915" s="24" t="s">
        <x:v>585</x:v>
      </x:c>
      <x:c r="B915" s="25">
        <x:v>46082</x:v>
      </x:c>
      <x:c r="C915" s="45" t="str">
        <x:f t="shared" si="14"/>
        <x:v>MARÇO</x:v>
      </x:c>
      <x:c r="D915" s="24" t="s">
        <x:v>89</x:v>
      </x:c>
      <x:c r="E915" s="24" t="s">
        <x:v>586</x:v>
      </x:c>
      <x:c r="F915" s="24" t="s">
        <x:v>314</x:v>
      </x:c>
      <x:c r="G915" s="44">
        <x:v>13635.9</x:v>
      </x:c>
      <x:c r="H915" s="24" t="s">
        <x:v>91</x:v>
      </x:c>
      <x:c r="I915" s="24" t="s">
        <x:v>311</x:v>
      </x:c>
      <x:c r="J915" s="24" t="s">
        <x:v>584</x:v>
      </x:c>
      <x:c r="K915" s="22" t="s">
        <x:v>11</x:v>
      </x:c>
    </x:row>
    <x:row r="916" hidden="1">
      <x:c r="A916" s="24" t="s">
        <x:v>325</x:v>
      </x:c>
      <x:c r="B916" s="25">
        <x:v>46082</x:v>
      </x:c>
      <x:c r="C916" s="45" t="str">
        <x:f t="shared" si="14"/>
        <x:v>MARÇO</x:v>
      </x:c>
      <x:c r="D916" s="24" t="s">
        <x:v>227</x:v>
      </x:c>
      <x:c r="E916" s="24" t="s">
        <x:v>317</x:v>
      </x:c>
      <x:c r="F916" s="24" t="s">
        <x:v>44</x:v>
      </x:c>
      <x:c r="G916" s="44">
        <x:v>-280</x:v>
      </x:c>
      <x:c r="H916" s="24" t="s">
        <x:v>91</x:v>
      </x:c>
      <x:c r="I916" s="24" t="s">
        <x:v>311</x:v>
      </x:c>
      <x:c r="J916" s="24" t="s">
        <x:v>584</x:v>
      </x:c>
      <x:c r="K916" s="22" t="s">
        <x:v>11</x:v>
      </x:c>
    </x:row>
    <x:row r="917" hidden="1">
      <x:c r="A917" s="24" t="s">
        <x:v>325</x:v>
      </x:c>
      <x:c r="B917" s="25">
        <x:v>46082</x:v>
      </x:c>
      <x:c r="C917" s="45" t="str">
        <x:f t="shared" si="14"/>
        <x:v>MARÇO</x:v>
      </x:c>
      <x:c r="D917" s="24" t="s">
        <x:v>227</x:v>
      </x:c>
      <x:c r="E917" s="24" t="s">
        <x:v>317</x:v>
      </x:c>
      <x:c r="F917" s="24" t="s">
        <x:v>44</x:v>
      </x:c>
      <x:c r="G917" s="44">
        <x:v>-280</x:v>
      </x:c>
      <x:c r="H917" s="24" t="s">
        <x:v>91</x:v>
      </x:c>
      <x:c r="I917" s="24" t="s">
        <x:v>311</x:v>
      </x:c>
      <x:c r="J917" s="24" t="s">
        <x:v>584</x:v>
      </x:c>
      <x:c r="K917" s="22" t="s">
        <x:v>11</x:v>
      </x:c>
    </x:row>
    <x:row r="918" hidden="1">
      <x:c r="A918" s="24" t="s">
        <x:v>587</x:v>
      </x:c>
      <x:c r="B918" s="25">
        <x:v>46082</x:v>
      </x:c>
      <x:c r="C918" s="45" t="str">
        <x:f t="shared" si="14"/>
        <x:v>MARÇO</x:v>
      </x:c>
      <x:c r="D918" s="24" t="s">
        <x:v>89</x:v>
      </x:c>
      <x:c r="E918" s="24" t="s">
        <x:v>346</x:v>
      </x:c>
      <x:c r="F918" s="24" t="s">
        <x:v>44</x:v>
      </x:c>
      <x:c r="G918" s="44">
        <x:v>12829.3</x:v>
      </x:c>
      <x:c r="H918" s="24" t="s">
        <x:v>91</x:v>
      </x:c>
      <x:c r="I918" s="24" t="s">
        <x:v>311</x:v>
      </x:c>
      <x:c r="J918" s="24" t="s">
        <x:v>584</x:v>
      </x:c>
      <x:c r="K918" s="22" t="s">
        <x:v>11</x:v>
      </x:c>
    </x:row>
    <x:row r="919" hidden="1">
      <x:c r="A919" s="24" t="s">
        <x:v>588</x:v>
      </x:c>
      <x:c r="B919" s="25">
        <x:v>46082</x:v>
      </x:c>
      <x:c r="C919" s="45" t="str">
        <x:f t="shared" si="14"/>
        <x:v>MARÇO</x:v>
      </x:c>
      <x:c r="D919" s="24" t="s">
        <x:v>89</x:v>
      </x:c>
      <x:c r="E919" s="24" t="s">
        <x:v>578</x:v>
      </x:c>
      <x:c r="F919" s="24" t="s">
        <x:v>44</x:v>
      </x:c>
      <x:c r="G919" s="44">
        <x:v>12208</x:v>
      </x:c>
      <x:c r="H919" s="24" t="s">
        <x:v>91</x:v>
      </x:c>
      <x:c r="I919" s="24" t="s">
        <x:v>311</x:v>
      </x:c>
      <x:c r="J919" s="23">
        <x:v>46093</x:v>
      </x:c>
      <x:c r="K919" s="22" t="s">
        <x:v>11</x:v>
      </x:c>
    </x:row>
    <x:row r="920" hidden="1">
      <x:c r="A920" s="24" t="s">
        <x:v>357</x:v>
      </x:c>
      <x:c r="B920" s="25">
        <x:v>46082</x:v>
      </x:c>
      <x:c r="C920" s="45" t="str">
        <x:f t="shared" si="14"/>
        <x:v>MARÇO</x:v>
      </x:c>
      <x:c r="D920" s="24" t="s">
        <x:v>227</x:v>
      </x:c>
      <x:c r="E920" s="24" t="s">
        <x:v>355</x:v>
      </x:c>
      <x:c r="F920" s="24" t="s">
        <x:v>314</x:v>
      </x:c>
      <x:c r="G920" s="44">
        <x:v>-941.02</x:v>
      </x:c>
      <x:c r="H920" s="24" t="s">
        <x:v>82</x:v>
      </x:c>
      <x:c r="I920" s="24" t="s">
        <x:v>387</x:v>
      </x:c>
      <x:c r="J920" s="24" t="s">
        <x:v>589</x:v>
      </x:c>
      <x:c r="K920" s="22" t="s">
        <x:v>11</x:v>
      </x:c>
    </x:row>
    <x:row r="921" hidden="1">
      <x:c r="A921" s="24" t="s">
        <x:v>325</x:v>
      </x:c>
      <x:c r="B921" s="25">
        <x:v>46082</x:v>
      </x:c>
      <x:c r="C921" s="45" t="str">
        <x:f t="shared" si="14"/>
        <x:v>MARÇO</x:v>
      </x:c>
      <x:c r="D921" s="24" t="s">
        <x:v>227</x:v>
      </x:c>
      <x:c r="E921" s="24" t="s">
        <x:v>388</x:v>
      </x:c>
      <x:c r="F921" s="24" t="s">
        <x:v>314</x:v>
      </x:c>
      <x:c r="G921" s="44">
        <x:v>-360.52</x:v>
      </x:c>
      <x:c r="H921" s="24" t="s">
        <x:v>82</x:v>
      </x:c>
      <x:c r="I921" s="24" t="s">
        <x:v>387</x:v>
      </x:c>
      <x:c r="J921" s="24" t="s">
        <x:v>589</x:v>
      </x:c>
      <x:c r="K921" s="22" t="s">
        <x:v>11</x:v>
      </x:c>
    </x:row>
    <x:row r="922" hidden="1">
      <x:c r="A922" s="24" t="s">
        <x:v>357</x:v>
      </x:c>
      <x:c r="B922" s="25">
        <x:v>46082</x:v>
      </x:c>
      <x:c r="C922" s="45" t="str">
        <x:f t="shared" si="14"/>
        <x:v>MARÇO</x:v>
      </x:c>
      <x:c r="D922" s="24" t="s">
        <x:v>227</x:v>
      </x:c>
      <x:c r="E922" s="24" t="s">
        <x:v>355</x:v>
      </x:c>
      <x:c r="F922" s="24" t="s">
        <x:v>314</x:v>
      </x:c>
      <x:c r="G922" s="44">
        <x:v>-142.13</x:v>
      </x:c>
      <x:c r="H922" s="24" t="s">
        <x:v>82</x:v>
      </x:c>
      <x:c r="I922" s="24" t="s">
        <x:v>387</x:v>
      </x:c>
      <x:c r="J922" s="24" t="s">
        <x:v>589</x:v>
      </x:c>
      <x:c r="K922" s="22" t="s">
        <x:v>11</x:v>
      </x:c>
    </x:row>
    <x:row r="923" hidden="1">
      <x:c r="A923" s="24" t="s">
        <x:v>357</x:v>
      </x:c>
      <x:c r="B923" s="25">
        <x:v>46082</x:v>
      </x:c>
      <x:c r="C923" s="45" t="str">
        <x:f t="shared" si="14"/>
        <x:v>MARÇO</x:v>
      </x:c>
      <x:c r="D923" s="24" t="s">
        <x:v>227</x:v>
      </x:c>
      <x:c r="E923" s="24" t="s">
        <x:v>355</x:v>
      </x:c>
      <x:c r="F923" s="24" t="s">
        <x:v>44</x:v>
      </x:c>
      <x:c r="G923" s="44">
        <x:v>-714.4</x:v>
      </x:c>
      <x:c r="H923" s="24" t="s">
        <x:v>82</x:v>
      </x:c>
      <x:c r="I923" s="24" t="s">
        <x:v>311</x:v>
      </x:c>
      <x:c r="J923" s="24" t="s">
        <x:v>589</x:v>
      </x:c>
      <x:c r="K923" s="22" t="s">
        <x:v>11</x:v>
      </x:c>
    </x:row>
    <x:row r="924" hidden="1">
      <x:c r="A924" s="24" t="s">
        <x:v>325</x:v>
      </x:c>
      <x:c r="B924" s="25">
        <x:v>46082</x:v>
      </x:c>
      <x:c r="C924" s="45" t="str">
        <x:f t="shared" si="14"/>
        <x:v>MARÇO</x:v>
      </x:c>
      <x:c r="D924" s="24" t="s">
        <x:v>227</x:v>
      </x:c>
      <x:c r="E924" s="24" t="s">
        <x:v>388</x:v>
      </x:c>
      <x:c r="F924" s="24" t="s">
        <x:v>44</x:v>
      </x:c>
      <x:c r="G924" s="44">
        <x:v>-1046.3900000000001</x:v>
      </x:c>
      <x:c r="H924" s="24" t="s">
        <x:v>82</x:v>
      </x:c>
      <x:c r="I924" s="24" t="s">
        <x:v>311</x:v>
      </x:c>
      <x:c r="J924" s="24" t="s">
        <x:v>589</x:v>
      </x:c>
      <x:c r="K924" s="22" t="s">
        <x:v>11</x:v>
      </x:c>
    </x:row>
    <x:row r="925" hidden="1">
      <x:c r="A925" s="24" t="s">
        <x:v>325</x:v>
      </x:c>
      <x:c r="B925" s="25">
        <x:v>46082</x:v>
      </x:c>
      <x:c r="C925" s="45" t="str">
        <x:f t="shared" si="14"/>
        <x:v>MARÇO</x:v>
      </x:c>
      <x:c r="D925" s="24" t="s">
        <x:v>227</x:v>
      </x:c>
      <x:c r="E925" s="24" t="s">
        <x:v>590</x:v>
      </x:c>
      <x:c r="F925" s="24" t="s">
        <x:v>389</x:v>
      </x:c>
      <x:c r="G925" s="44">
        <x:v>-1096.5</x:v>
      </x:c>
      <x:c r="H925" s="24" t="s">
        <x:v>82</x:v>
      </x:c>
      <x:c r="I925" s="24" t="s">
        <x:v>311</x:v>
      </x:c>
      <x:c r="J925" s="24" t="s">
        <x:v>589</x:v>
      </x:c>
      <x:c r="K925" s="22" t="s">
        <x:v>11</x:v>
      </x:c>
    </x:row>
    <x:row r="926" hidden="1">
      <x:c r="A926" s="30" t="s">
        <x:v>112</x:v>
      </x:c>
      <x:c r="B926" s="25">
        <x:v>46082</x:v>
      </x:c>
      <x:c r="C926" s="45" t="str">
        <x:f t="shared" si="14"/>
        <x:v>MARÇO</x:v>
      </x:c>
      <x:c r="D926" s="24" t="s">
        <x:v>112</x:v>
      </x:c>
      <x:c r="E926" s="24" t="s">
        <x:v>341</x:v>
      </x:c>
      <x:c r="F926" s="24" t="s">
        <x:v>59</x:v>
      </x:c>
      <x:c r="G926" s="44">
        <x:v>-21277.56</x:v>
      </x:c>
      <x:c r="H926" s="24" t="s">
        <x:v>82</x:v>
      </x:c>
      <x:c r="I926" s="24" t="s">
        <x:v>311</x:v>
      </x:c>
      <x:c r="J926" s="24" t="s">
        <x:v>591</x:v>
      </x:c>
      <x:c r="K926" s="22" t="s">
        <x:v>11</x:v>
      </x:c>
    </x:row>
    <x:row r="927" hidden="1">
      <x:c r="A927" s="30" t="s">
        <x:v>112</x:v>
      </x:c>
      <x:c r="B927" s="25">
        <x:v>46082</x:v>
      </x:c>
      <x:c r="C927" s="45" t="str">
        <x:f t="shared" si="14"/>
        <x:v>MARÇO</x:v>
      </x:c>
      <x:c r="D927" s="24" t="s">
        <x:v>112</x:v>
      </x:c>
      <x:c r="E927" s="24" t="s">
        <x:v>341</x:v>
      </x:c>
      <x:c r="F927" s="24" t="s">
        <x:v>44</x:v>
      </x:c>
      <x:c r="G927" s="44">
        <x:v>-21277.56</x:v>
      </x:c>
      <x:c r="H927" s="24" t="s">
        <x:v>82</x:v>
      </x:c>
      <x:c r="I927" s="24" t="s">
        <x:v>311</x:v>
      </x:c>
      <x:c r="J927" s="24" t="s">
        <x:v>591</x:v>
      </x:c>
      <x:c r="K927" s="22" t="s">
        <x:v>11</x:v>
      </x:c>
    </x:row>
    <x:row r="928" hidden="1">
      <x:c r="A928" s="24" t="s">
        <x:v>439</x:v>
      </x:c>
      <x:c r="B928" s="25">
        <x:v>46082</x:v>
      </x:c>
      <x:c r="C928" s="45" t="str">
        <x:f t="shared" si="14"/>
        <x:v>MARÇO</x:v>
      </x:c>
      <x:c r="D928" s="24" t="s">
        <x:v>227</x:v>
      </x:c>
      <x:c r="E928" s="24" t="s">
        <x:v>511</x:v>
      </x:c>
      <x:c r="F928" s="24" t="s">
        <x:v>389</x:v>
      </x:c>
      <x:c r="G928" s="44">
        <x:v>-55</x:v>
      </x:c>
      <x:c r="H928" s="24" t="s">
        <x:v>82</x:v>
      </x:c>
      <x:c r="I928" s="24" t="s">
        <x:v>311</x:v>
      </x:c>
      <x:c r="J928" s="24" t="s">
        <x:v>591</x:v>
      </x:c>
      <x:c r="K928" s="22" t="s">
        <x:v>11</x:v>
      </x:c>
    </x:row>
    <x:row r="929" hidden="1">
      <x:c r="A929" s="24" t="s">
        <x:v>309</x:v>
      </x:c>
      <x:c r="B929" s="25">
        <x:v>46082</x:v>
      </x:c>
      <x:c r="C929" s="45" t="str">
        <x:f t="shared" si="14"/>
        <x:v>MARÇO</x:v>
      </x:c>
      <x:c r="D929" s="24" t="s">
        <x:v>227</x:v>
      </x:c>
      <x:c r="E929" s="24" t="s">
        <x:v>567</x:v>
      </x:c>
      <x:c r="F929" s="24" t="s">
        <x:v>314</x:v>
      </x:c>
      <x:c r="G929" s="44">
        <x:v>-6963.02</x:v>
      </x:c>
      <x:c r="H929" s="24" t="s">
        <x:v>82</x:v>
      </x:c>
      <x:c r="I929" s="24" t="s">
        <x:v>311</x:v>
      </x:c>
      <x:c r="J929" s="24" t="s">
        <x:v>591</x:v>
      </x:c>
      <x:c r="K929" s="22" t="s">
        <x:v>11</x:v>
      </x:c>
    </x:row>
    <x:row r="930" hidden="1">
      <x:c r="A930" s="24" t="s">
        <x:v>309</x:v>
      </x:c>
      <x:c r="B930" s="25">
        <x:v>46082</x:v>
      </x:c>
      <x:c r="C930" s="45" t="str">
        <x:f t="shared" si="14"/>
        <x:v>MARÇO</x:v>
      </x:c>
      <x:c r="D930" s="24" t="s">
        <x:v>227</x:v>
      </x:c>
      <x:c r="E930" s="24" t="s">
        <x:v>567</x:v>
      </x:c>
      <x:c r="F930" s="24" t="s">
        <x:v>59</x:v>
      </x:c>
      <x:c r="G930" s="44">
        <x:v>-6665.42</x:v>
      </x:c>
      <x:c r="H930" s="24" t="s">
        <x:v>82</x:v>
      </x:c>
      <x:c r="I930" s="24" t="s">
        <x:v>311</x:v>
      </x:c>
      <x:c r="J930" s="24" t="s">
        <x:v>591</x:v>
      </x:c>
      <x:c r="K930" s="22" t="s">
        <x:v>11</x:v>
      </x:c>
    </x:row>
    <x:row r="931" hidden="1">
      <x:c r="A931" s="24" t="s">
        <x:v>309</x:v>
      </x:c>
      <x:c r="B931" s="25">
        <x:v>46082</x:v>
      </x:c>
      <x:c r="C931" s="45" t="str">
        <x:f t="shared" si="14"/>
        <x:v>MARÇO</x:v>
      </x:c>
      <x:c r="D931" s="24" t="s">
        <x:v>227</x:v>
      </x:c>
      <x:c r="E931" s="24" t="s">
        <x:v>567</x:v>
      </x:c>
      <x:c r="F931" s="24" t="s">
        <x:v>44</x:v>
      </x:c>
      <x:c r="G931" s="44">
        <x:v>-6118.24</x:v>
      </x:c>
      <x:c r="H931" s="24" t="s">
        <x:v>82</x:v>
      </x:c>
      <x:c r="I931" s="24" t="s">
        <x:v>311</x:v>
      </x:c>
      <x:c r="J931" s="24" t="s">
        <x:v>591</x:v>
      </x:c>
      <x:c r="K931" s="22" t="s">
        <x:v>11</x:v>
      </x:c>
    </x:row>
    <x:row r="932" hidden="1">
      <x:c r="A932" s="24" t="s">
        <x:v>309</x:v>
      </x:c>
      <x:c r="B932" s="25">
        <x:v>46082</x:v>
      </x:c>
      <x:c r="C932" s="45" t="str">
        <x:f t="shared" si="14"/>
        <x:v>MARÇO</x:v>
      </x:c>
      <x:c r="D932" s="24" t="s">
        <x:v>227</x:v>
      </x:c>
      <x:c r="E932" s="24" t="s">
        <x:v>567</x:v>
      </x:c>
      <x:c r="F932" s="24" t="s">
        <x:v>65</x:v>
      </x:c>
      <x:c r="G932" s="44">
        <x:v>-7336.88</x:v>
      </x:c>
      <x:c r="H932" s="24" t="s">
        <x:v>82</x:v>
      </x:c>
      <x:c r="I932" s="24" t="s">
        <x:v>311</x:v>
      </x:c>
      <x:c r="J932" s="24" t="s">
        <x:v>591</x:v>
      </x:c>
      <x:c r="K932" s="22" t="s">
        <x:v>11</x:v>
      </x:c>
    </x:row>
    <x:row r="933" hidden="1">
      <x:c r="A933" s="24" t="s">
        <x:v>309</x:v>
      </x:c>
      <x:c r="B933" s="25">
        <x:v>46082</x:v>
      </x:c>
      <x:c r="C933" s="45" t="str">
        <x:f t="shared" si="14"/>
        <x:v>MARÇO</x:v>
      </x:c>
      <x:c r="D933" s="24" t="s">
        <x:v>227</x:v>
      </x:c>
      <x:c r="E933" s="24" t="s">
        <x:v>567</x:v>
      </x:c>
      <x:c r="F933" s="24" t="s">
        <x:v>314</x:v>
      </x:c>
      <x:c r="G933" s="44">
        <x:v>-4639.8599999999997</x:v>
      </x:c>
      <x:c r="H933" s="24" t="s">
        <x:v>82</x:v>
      </x:c>
      <x:c r="I933" s="24" t="s">
        <x:v>311</x:v>
      </x:c>
      <x:c r="J933" s="24" t="s">
        <x:v>591</x:v>
      </x:c>
      <x:c r="K933" s="22" t="s">
        <x:v>11</x:v>
      </x:c>
    </x:row>
    <x:row r="934" hidden="1">
      <x:c r="A934" s="24" t="s">
        <x:v>592</x:v>
      </x:c>
      <x:c r="B934" s="25">
        <x:v>46082</x:v>
      </x:c>
      <x:c r="C934" s="45" t="str">
        <x:f t="shared" si="14"/>
        <x:v>MARÇO</x:v>
      </x:c>
      <x:c r="D934" s="24" t="s">
        <x:v>89</x:v>
      </x:c>
      <x:c r="E934" s="24" t="s">
        <x:v>344</x:v>
      </x:c>
      <x:c r="F934" s="24" t="s">
        <x:v>65</x:v>
      </x:c>
      <x:c r="G934" s="44">
        <x:v>10398.6</x:v>
      </x:c>
      <x:c r="H934" s="24" t="s">
        <x:v>91</x:v>
      </x:c>
      <x:c r="I934" s="24" t="s">
        <x:v>311</x:v>
      </x:c>
      <x:c r="J934" s="24" t="s">
        <x:v>591</x:v>
      </x:c>
      <x:c r="K934" s="22" t="s">
        <x:v>11</x:v>
      </x:c>
    </x:row>
    <x:row r="935" hidden="1">
      <x:c r="A935" s="24" t="s">
        <x:v>593</x:v>
      </x:c>
      <x:c r="B935" s="25">
        <x:v>46082</x:v>
      </x:c>
      <x:c r="C935" s="45" t="str">
        <x:f t="shared" si="14"/>
        <x:v>MARÇO</x:v>
      </x:c>
      <x:c r="D935" s="24" t="s">
        <x:v>89</x:v>
      </x:c>
      <x:c r="E935" s="24" t="s">
        <x:v>374</x:v>
      </x:c>
      <x:c r="F935" s="24" t="s">
        <x:v>66</x:v>
      </x:c>
      <x:c r="G935" s="44">
        <x:v>10049.799999999999</x:v>
      </x:c>
      <x:c r="H935" s="24" t="s">
        <x:v>91</x:v>
      </x:c>
      <x:c r="I935" s="24" t="s">
        <x:v>311</x:v>
      </x:c>
      <x:c r="J935" s="24" t="s">
        <x:v>591</x:v>
      </x:c>
      <x:c r="K935" s="22" t="s">
        <x:v>11</x:v>
      </x:c>
    </x:row>
    <x:row r="936" hidden="1">
      <x:c r="A936" s="24" t="s">
        <x:v>594</x:v>
      </x:c>
      <x:c r="B936" s="25">
        <x:v>46082</x:v>
      </x:c>
      <x:c r="C936" s="45" t="str">
        <x:f t="shared" si="14"/>
        <x:v>MARÇO</x:v>
      </x:c>
      <x:c r="D936" s="24" t="s">
        <x:v>89</x:v>
      </x:c>
      <x:c r="E936" s="24" t="s">
        <x:v>467</x:v>
      </x:c>
      <x:c r="F936" s="24" t="s">
        <x:v>66</x:v>
      </x:c>
      <x:c r="G936" s="44">
        <x:v>9744.6</x:v>
      </x:c>
      <x:c r="H936" s="24" t="s">
        <x:v>91</x:v>
      </x:c>
      <x:c r="I936" s="24" t="s">
        <x:v>311</x:v>
      </x:c>
      <x:c r="J936" s="24" t="s">
        <x:v>595</x:v>
      </x:c>
      <x:c r="K936" s="22" t="s">
        <x:v>11</x:v>
      </x:c>
    </x:row>
    <x:row r="937" hidden="1">
      <x:c r="A937" s="30" t="s">
        <x:v>112</x:v>
      </x:c>
      <x:c r="B937" s="25">
        <x:v>46082</x:v>
      </x:c>
      <x:c r="C937" s="45" t="str">
        <x:f t="shared" si="14"/>
        <x:v>MARÇO</x:v>
      </x:c>
      <x:c r="D937" s="24" t="s">
        <x:v>112</x:v>
      </x:c>
      <x:c r="E937" s="24" t="s">
        <x:v>341</x:v>
      </x:c>
      <x:c r="F937" s="24" t="s">
        <x:v>385</x:v>
      </x:c>
      <x:c r="G937" s="44">
        <x:v>-3709.16</x:v>
      </x:c>
      <x:c r="H937" s="24" t="s">
        <x:v>82</x:v>
      </x:c>
      <x:c r="I937" s="24" t="s">
        <x:v>311</x:v>
      </x:c>
      <x:c r="J937" s="24" t="s">
        <x:v>596</x:v>
      </x:c>
      <x:c r="K937" s="22" t="s">
        <x:v>11</x:v>
      </x:c>
    </x:row>
    <x:row r="938" hidden="1">
      <x:c r="A938" s="24" t="s">
        <x:v>415</x:v>
      </x:c>
      <x:c r="B938" s="25">
        <x:v>46082</x:v>
      </x:c>
      <x:c r="C938" s="45" t="str">
        <x:f t="shared" si="14"/>
        <x:v>MARÇO</x:v>
      </x:c>
      <x:c r="D938" s="24" t="s">
        <x:v>107</x:v>
      </x:c>
      <x:c r="E938" s="24" t="s">
        <x:v>107</x:v>
      </x:c>
      <x:c r="F938" s="24" t="s">
        <x:v>66</x:v>
      </x:c>
      <x:c r="G938" s="44">
        <x:v>-18.972000000000001</x:v>
      </x:c>
      <x:c r="H938" s="24" t="s">
        <x:v>82</x:v>
      </x:c>
      <x:c r="I938" s="24" t="s">
        <x:v>311</x:v>
      </x:c>
      <x:c r="J938" s="24" t="s">
        <x:v>597</x:v>
      </x:c>
      <x:c r="K938" s="22" t="s">
        <x:v>11</x:v>
      </x:c>
    </x:row>
    <x:row r="939" hidden="1">
      <x:c r="A939" s="24" t="s">
        <x:v>415</x:v>
      </x:c>
      <x:c r="B939" s="25">
        <x:v>46082</x:v>
      </x:c>
      <x:c r="C939" s="45" t="str">
        <x:f t="shared" si="14"/>
        <x:v>MARÇO</x:v>
      </x:c>
      <x:c r="D939" s="24" t="s">
        <x:v>107</x:v>
      </x:c>
      <x:c r="E939" s="24" t="s">
        <x:v>107</x:v>
      </x:c>
      <x:c r="F939" s="24" t="s">
        <x:v>59</x:v>
      </x:c>
      <x:c r="G939" s="44">
        <x:v>-18.972000000000001</x:v>
      </x:c>
      <x:c r="H939" s="24" t="s">
        <x:v>82</x:v>
      </x:c>
      <x:c r="I939" s="24" t="s">
        <x:v>311</x:v>
      </x:c>
      <x:c r="J939" s="24" t="s">
        <x:v>597</x:v>
      </x:c>
      <x:c r="K939" s="22" t="s">
        <x:v>11</x:v>
      </x:c>
    </x:row>
    <x:row r="940" hidden="1">
      <x:c r="A940" s="24" t="s">
        <x:v>415</x:v>
      </x:c>
      <x:c r="B940" s="25">
        <x:v>46082</x:v>
      </x:c>
      <x:c r="C940" s="45" t="str">
        <x:f t="shared" si="14"/>
        <x:v>MARÇO</x:v>
      </x:c>
      <x:c r="D940" s="24" t="s">
        <x:v>107</x:v>
      </x:c>
      <x:c r="E940" s="24" t="s">
        <x:v>107</x:v>
      </x:c>
      <x:c r="F940" s="24" t="s">
        <x:v>314</x:v>
      </x:c>
      <x:c r="G940" s="44">
        <x:v>-18.972000000000001</x:v>
      </x:c>
      <x:c r="H940" s="24" t="s">
        <x:v>82</x:v>
      </x:c>
      <x:c r="I940" s="24" t="s">
        <x:v>311</x:v>
      </x:c>
      <x:c r="J940" s="24" t="s">
        <x:v>597</x:v>
      </x:c>
      <x:c r="K940" s="22" t="s">
        <x:v>11</x:v>
      </x:c>
    </x:row>
    <x:row r="941" hidden="1">
      <x:c r="A941" s="24" t="s">
        <x:v>415</x:v>
      </x:c>
      <x:c r="B941" s="25">
        <x:v>46082</x:v>
      </x:c>
      <x:c r="C941" s="45" t="str">
        <x:f t="shared" si="14"/>
        <x:v>MARÇO</x:v>
      </x:c>
      <x:c r="D941" s="24" t="s">
        <x:v>107</x:v>
      </x:c>
      <x:c r="E941" s="24" t="s">
        <x:v>107</x:v>
      </x:c>
      <x:c r="F941" s="24" t="s">
        <x:v>44</x:v>
      </x:c>
      <x:c r="G941" s="44">
        <x:v>-18.972000000000001</x:v>
      </x:c>
      <x:c r="H941" s="24" t="s">
        <x:v>82</x:v>
      </x:c>
      <x:c r="I941" s="24" t="s">
        <x:v>311</x:v>
      </x:c>
      <x:c r="J941" s="24" t="s">
        <x:v>597</x:v>
      </x:c>
      <x:c r="K941" s="22" t="s">
        <x:v>11</x:v>
      </x:c>
    </x:row>
    <x:row r="942" hidden="1">
      <x:c r="A942" s="24" t="s">
        <x:v>415</x:v>
      </x:c>
      <x:c r="B942" s="25">
        <x:v>46082</x:v>
      </x:c>
      <x:c r="C942" s="45" t="str">
        <x:f t="shared" si="14"/>
        <x:v>MARÇO</x:v>
      </x:c>
      <x:c r="D942" s="24" t="s">
        <x:v>107</x:v>
      </x:c>
      <x:c r="E942" s="24" t="s">
        <x:v>107</x:v>
      </x:c>
      <x:c r="F942" s="24" t="s">
        <x:v>65</x:v>
      </x:c>
      <x:c r="G942" s="44">
        <x:v>-18.972000000000001</x:v>
      </x:c>
      <x:c r="H942" s="24" t="s">
        <x:v>82</x:v>
      </x:c>
      <x:c r="I942" s="24" t="s">
        <x:v>311</x:v>
      </x:c>
      <x:c r="J942" s="24" t="s">
        <x:v>597</x:v>
      </x:c>
      <x:c r="K942" s="22" t="s">
        <x:v>11</x:v>
      </x:c>
    </x:row>
    <x:row r="943" hidden="1">
      <x:c r="A943" s="24" t="s">
        <x:v>390</x:v>
      </x:c>
      <x:c r="B943" s="25">
        <x:v>46082</x:v>
      </x:c>
      <x:c r="C943" s="45" t="str">
        <x:f t="shared" si="14"/>
        <x:v>MARÇO</x:v>
      </x:c>
      <x:c r="D943" s="24" t="s">
        <x:v>110</x:v>
      </x:c>
      <x:c r="E943" s="24" t="s">
        <x:v>391</x:v>
      </x:c>
      <x:c r="F943" s="24" t="s">
        <x:v>314</x:v>
      </x:c>
      <x:c r="G943" s="44">
        <x:v>-10060.870000000001</x:v>
      </x:c>
      <x:c r="H943" s="24" t="s">
        <x:v>82</x:v>
      </x:c>
      <x:c r="I943" s="24" t="s">
        <x:v>311</x:v>
      </x:c>
      <x:c r="J943" s="24" t="s">
        <x:v>597</x:v>
      </x:c>
      <x:c r="K943" s="22" t="s">
        <x:v>11</x:v>
      </x:c>
    </x:row>
    <x:row r="944" hidden="1">
      <x:c r="A944" s="24" t="s">
        <x:v>390</x:v>
      </x:c>
      <x:c r="B944" s="25">
        <x:v>46082</x:v>
      </x:c>
      <x:c r="C944" s="45" t="str">
        <x:f t="shared" si="14"/>
        <x:v>MARÇO</x:v>
      </x:c>
      <x:c r="D944" s="24" t="s">
        <x:v>110</x:v>
      </x:c>
      <x:c r="E944" s="24" t="s">
        <x:v>391</x:v>
      </x:c>
      <x:c r="F944" s="24" t="s">
        <x:v>59</x:v>
      </x:c>
      <x:c r="G944" s="44">
        <x:v>-12909.57</x:v>
      </x:c>
      <x:c r="H944" s="24" t="s">
        <x:v>82</x:v>
      </x:c>
      <x:c r="I944" s="24" t="s">
        <x:v>311</x:v>
      </x:c>
      <x:c r="J944" s="24" t="s">
        <x:v>597</x:v>
      </x:c>
      <x:c r="K944" s="22" t="s">
        <x:v>11</x:v>
      </x:c>
    </x:row>
    <x:row r="945" hidden="1">
      <x:c r="A945" s="24" t="s">
        <x:v>390</x:v>
      </x:c>
      <x:c r="B945" s="25">
        <x:v>46082</x:v>
      </x:c>
      <x:c r="C945" s="45" t="str">
        <x:f t="shared" si="14"/>
        <x:v>MARÇO</x:v>
      </x:c>
      <x:c r="D945" s="24" t="s">
        <x:v>110</x:v>
      </x:c>
      <x:c r="E945" s="24" t="s">
        <x:v>391</x:v>
      </x:c>
      <x:c r="F945" s="24" t="s">
        <x:v>44</x:v>
      </x:c>
      <x:c r="G945" s="44">
        <x:v>-8355.24</x:v>
      </x:c>
      <x:c r="H945" s="24" t="s">
        <x:v>82</x:v>
      </x:c>
      <x:c r="I945" s="24" t="s">
        <x:v>311</x:v>
      </x:c>
      <x:c r="J945" s="24" t="s">
        <x:v>597</x:v>
      </x:c>
      <x:c r="K945" s="22" t="s">
        <x:v>11</x:v>
      </x:c>
    </x:row>
    <x:row r="946" hidden="1">
      <x:c r="A946" s="24" t="s">
        <x:v>390</x:v>
      </x:c>
      <x:c r="B946" s="25">
        <x:v>46082</x:v>
      </x:c>
      <x:c r="C946" s="45" t="str">
        <x:f t="shared" si="14"/>
        <x:v>MARÇO</x:v>
      </x:c>
      <x:c r="D946" s="24" t="s">
        <x:v>110</x:v>
      </x:c>
      <x:c r="E946" s="24" t="s">
        <x:v>391</x:v>
      </x:c>
      <x:c r="F946" s="24" t="s">
        <x:v>65</x:v>
      </x:c>
      <x:c r="G946" s="44">
        <x:v>-11658.51</x:v>
      </x:c>
      <x:c r="H946" s="24" t="s">
        <x:v>82</x:v>
      </x:c>
      <x:c r="I946" s="24" t="s">
        <x:v>311</x:v>
      </x:c>
      <x:c r="J946" s="24" t="s">
        <x:v>597</x:v>
      </x:c>
      <x:c r="K946" s="22" t="s">
        <x:v>11</x:v>
      </x:c>
    </x:row>
    <x:row r="947" hidden="1">
      <x:c r="A947" s="24" t="s">
        <x:v>390</x:v>
      </x:c>
      <x:c r="B947" s="25">
        <x:v>46082</x:v>
      </x:c>
      <x:c r="C947" s="45" t="str">
        <x:f t="shared" si="14"/>
        <x:v>MARÇO</x:v>
      </x:c>
      <x:c r="D947" s="24" t="s">
        <x:v>110</x:v>
      </x:c>
      <x:c r="E947" s="24" t="s">
        <x:v>391</x:v>
      </x:c>
      <x:c r="F947" s="24" t="s">
        <x:v>66</x:v>
      </x:c>
      <x:c r="G947" s="44">
        <x:v>-10532.65</x:v>
      </x:c>
      <x:c r="H947" s="24" t="s">
        <x:v>82</x:v>
      </x:c>
      <x:c r="I947" s="24" t="s">
        <x:v>311</x:v>
      </x:c>
      <x:c r="J947" s="24" t="s">
        <x:v>597</x:v>
      </x:c>
      <x:c r="K947" s="22" t="s">
        <x:v>11</x:v>
      </x:c>
    </x:row>
    <x:row r="948" hidden="1">
      <x:c r="A948" s="24" t="s">
        <x:v>598</x:v>
      </x:c>
      <x:c r="B948" s="25">
        <x:v>46082</x:v>
      </x:c>
      <x:c r="C948" s="45" t="str">
        <x:f t="shared" si="14"/>
        <x:v>MARÇO</x:v>
      </x:c>
      <x:c r="D948" s="24" t="s">
        <x:v>89</x:v>
      </x:c>
      <x:c r="E948" s="24" t="s">
        <x:v>377</x:v>
      </x:c>
      <x:c r="F948" s="24" t="s">
        <x:v>65</x:v>
      </x:c>
      <x:c r="G948" s="44">
        <x:v>9701</x:v>
      </x:c>
      <x:c r="H948" s="24" t="s">
        <x:v>91</x:v>
      </x:c>
      <x:c r="I948" s="24" t="s">
        <x:v>311</x:v>
      </x:c>
      <x:c r="J948" s="24" t="s">
        <x:v>599</x:v>
      </x:c>
      <x:c r="K948" s="22" t="s">
        <x:v>11</x:v>
      </x:c>
    </x:row>
    <x:row r="949" hidden="1">
      <x:c r="A949" s="24" t="s">
        <x:v>600</x:v>
      </x:c>
      <x:c r="B949" s="25">
        <x:v>46082</x:v>
      </x:c>
      <x:c r="C949" s="45" t="str">
        <x:f t="shared" si="14"/>
        <x:v>MARÇO</x:v>
      </x:c>
      <x:c r="D949" s="24" t="s">
        <x:v>89</x:v>
      </x:c>
      <x:c r="E949" s="24" t="s">
        <x:v>346</x:v>
      </x:c>
      <x:c r="F949" s="24" t="s">
        <x:v>59</x:v>
      </x:c>
      <x:c r="G949" s="44">
        <x:v>13015.4</x:v>
      </x:c>
      <x:c r="H949" s="24" t="s">
        <x:v>91</x:v>
      </x:c>
      <x:c r="I949" s="24" t="s">
        <x:v>311</x:v>
      </x:c>
      <x:c r="J949" s="24" t="s">
        <x:v>599</x:v>
      </x:c>
      <x:c r="K949" s="22" t="s">
        <x:v>11</x:v>
      </x:c>
    </x:row>
    <x:row r="950" hidden="1">
      <x:c r="A950" s="24" t="s">
        <x:v>601</x:v>
      </x:c>
      <x:c r="B950" s="25">
        <x:v>46082</x:v>
      </x:c>
      <x:c r="C950" s="45" t="str">
        <x:f t="shared" si="14"/>
        <x:v>MARÇO</x:v>
      </x:c>
      <x:c r="D950" s="24" t="s">
        <x:v>89</x:v>
      </x:c>
      <x:c r="E950" s="24" t="s">
        <x:v>374</x:v>
      </x:c>
      <x:c r="F950" s="24" t="s">
        <x:v>59</x:v>
      </x:c>
      <x:c r="G950" s="44">
        <x:v>12066.3</x:v>
      </x:c>
      <x:c r="H950" s="24" t="s">
        <x:v>91</x:v>
      </x:c>
      <x:c r="I950" s="24" t="s">
        <x:v>311</x:v>
      </x:c>
      <x:c r="J950" s="23">
        <x:v>46095</x:v>
      </x:c>
      <x:c r="K950" s="22" t="s">
        <x:v>11</x:v>
      </x:c>
    </x:row>
    <x:row r="951" hidden="1">
      <x:c r="A951" s="24" t="s">
        <x:v>602</x:v>
      </x:c>
      <x:c r="B951" s="25">
        <x:v>46082</x:v>
      </x:c>
      <x:c r="C951" s="45" t="str">
        <x:f t="shared" si="14"/>
        <x:v>MARÇO</x:v>
      </x:c>
      <x:c r="D951" s="24" t="s">
        <x:v>89</x:v>
      </x:c>
      <x:c r="E951" s="24" t="s">
        <x:v>565</x:v>
      </x:c>
      <x:c r="F951" s="24" t="s">
        <x:v>59</x:v>
      </x:c>
      <x:c r="G951" s="44">
        <x:v>12066.3</x:v>
      </x:c>
      <x:c r="H951" s="24" t="s">
        <x:v>91</x:v>
      </x:c>
      <x:c r="I951" s="24" t="s">
        <x:v>311</x:v>
      </x:c>
      <x:c r="J951" s="23">
        <x:v>46099</x:v>
      </x:c>
      <x:c r="K951" s="22" t="s">
        <x:v>11</x:v>
      </x:c>
    </x:row>
    <x:row r="952" hidden="1">
      <x:c r="A952" s="24" t="s">
        <x:v>325</x:v>
      </x:c>
      <x:c r="B952" s="25">
        <x:v>46082</x:v>
      </x:c>
      <x:c r="C952" s="45" t="str">
        <x:f t="shared" si="14"/>
        <x:v>MARÇO</x:v>
      </x:c>
      <x:c r="D952" s="24" t="s">
        <x:v>227</x:v>
      </x:c>
      <x:c r="E952" s="24" t="s">
        <x:v>23</x:v>
      </x:c>
      <x:c r="F952" s="24" t="s">
        <x:v>65</x:v>
      </x:c>
      <x:c r="G952" s="44">
        <x:v>-60</x:v>
      </x:c>
      <x:c r="H952" s="24" t="s">
        <x:v>91</x:v>
      </x:c>
      <x:c r="I952" s="24" t="s">
        <x:v>311</x:v>
      </x:c>
      <x:c r="J952" s="23">
        <x:v>46094</x:v>
      </x:c>
      <x:c r="K952" s="22" t="s">
        <x:v>11</x:v>
      </x:c>
    </x:row>
    <x:row r="953" hidden="1">
      <x:c r="A953" s="24" t="s">
        <x:v>335</x:v>
      </x:c>
      <x:c r="B953" s="25">
        <x:v>46082</x:v>
      </x:c>
      <x:c r="C953" s="45" t="str">
        <x:f t="shared" si="14"/>
        <x:v>MARÇO</x:v>
      </x:c>
      <x:c r="D953" s="24" t="s">
        <x:v>227</x:v>
      </x:c>
      <x:c r="E953" s="24" t="s">
        <x:v>317</x:v>
      </x:c>
      <x:c r="F953" s="24" t="s">
        <x:v>44</x:v>
      </x:c>
      <x:c r="G953" s="44">
        <x:v>-102</x:v>
      </x:c>
      <x:c r="H953" s="24" t="s">
        <x:v>91</x:v>
      </x:c>
      <x:c r="I953" s="24" t="s">
        <x:v>311</x:v>
      </x:c>
      <x:c r="J953" s="23">
        <x:v>46099</x:v>
      </x:c>
      <x:c r="K953" s="22" t="s">
        <x:v>11</x:v>
      </x:c>
    </x:row>
    <x:row r="954" hidden="1">
      <x:c r="A954" s="24" t="s">
        <x:v>325</x:v>
      </x:c>
      <x:c r="B954" s="25">
        <x:v>46082</x:v>
      </x:c>
      <x:c r="C954" s="45" t="str">
        <x:f t="shared" si="14"/>
        <x:v>MARÇO</x:v>
      </x:c>
      <x:c r="D954" s="24" t="s">
        <x:v>227</x:v>
      </x:c>
      <x:c r="E954" s="24" t="s">
        <x:v>317</x:v>
      </x:c>
      <x:c r="F954" s="24" t="s">
        <x:v>44</x:v>
      </x:c>
      <x:c r="G954" s="44">
        <x:v>-337</x:v>
      </x:c>
      <x:c r="H954" s="24" t="s">
        <x:v>91</x:v>
      </x:c>
      <x:c r="I954" s="24" t="s">
        <x:v>311</x:v>
      </x:c>
      <x:c r="J954" s="23">
        <x:v>46099</x:v>
      </x:c>
      <x:c r="K954" s="22" t="s">
        <x:v>11</x:v>
      </x:c>
    </x:row>
    <x:row r="955" hidden="1">
      <x:c r="A955" s="24" t="s">
        <x:v>555</x:v>
      </x:c>
      <x:c r="B955" s="25">
        <x:v>46082</x:v>
      </x:c>
      <x:c r="C955" s="45" t="str">
        <x:f t="shared" si="14"/>
        <x:v>MARÇO</x:v>
      </x:c>
      <x:c r="D955" s="24" t="s">
        <x:v>227</x:v>
      </x:c>
      <x:c r="E955" s="24" t="s">
        <x:v>317</x:v>
      </x:c>
      <x:c r="F955" s="24" t="s">
        <x:v>44</x:v>
      </x:c>
      <x:c r="G955" s="44">
        <x:v>-26</x:v>
      </x:c>
      <x:c r="H955" s="24" t="s">
        <x:v>91</x:v>
      </x:c>
      <x:c r="I955" s="24" t="s">
        <x:v>311</x:v>
      </x:c>
      <x:c r="J955" s="23">
        <x:v>46099</x:v>
      </x:c>
      <x:c r="K955" s="22" t="s">
        <x:v>11</x:v>
      </x:c>
    </x:row>
    <x:row r="956" hidden="1">
      <x:c r="A956" s="24" t="s">
        <x:v>357</x:v>
      </x:c>
      <x:c r="B956" s="25">
        <x:v>46082</x:v>
      </x:c>
      <x:c r="C956" s="45" t="str">
        <x:f t="shared" si="14"/>
        <x:v>MARÇO</x:v>
      </x:c>
      <x:c r="D956" s="24" t="s">
        <x:v>227</x:v>
      </x:c>
      <x:c r="E956" s="24" t="s">
        <x:v>317</x:v>
      </x:c>
      <x:c r="F956" s="24" t="s">
        <x:v>44</x:v>
      </x:c>
      <x:c r="G956" s="44">
        <x:v>-273</x:v>
      </x:c>
      <x:c r="H956" s="24" t="s">
        <x:v>91</x:v>
      </x:c>
      <x:c r="I956" s="24" t="s">
        <x:v>311</x:v>
      </x:c>
      <x:c r="J956" s="23">
        <x:v>46099</x:v>
      </x:c>
      <x:c r="K956" s="22" t="s">
        <x:v>11</x:v>
      </x:c>
    </x:row>
    <x:row r="957" hidden="1">
      <x:c r="A957" s="24" t="s">
        <x:v>603</x:v>
      </x:c>
      <x:c r="B957" s="25">
        <x:v>46082</x:v>
      </x:c>
      <x:c r="C957" s="45" t="str">
        <x:f t="shared" si="14"/>
        <x:v>MARÇO</x:v>
      </x:c>
      <x:c r="D957" s="24" t="s">
        <x:v>89</x:v>
      </x:c>
      <x:c r="E957" s="24" t="s">
        <x:v>359</x:v>
      </x:c>
      <x:c r="F957" s="24" t="s">
        <x:v>44</x:v>
      </x:c>
      <x:c r="G957" s="44">
        <x:v>13156.3</x:v>
      </x:c>
      <x:c r="H957" s="24" t="s">
        <x:v>91</x:v>
      </x:c>
      <x:c r="I957" s="24" t="s">
        <x:v>311</x:v>
      </x:c>
      <x:c r="J957" s="23">
        <x:v>46099</x:v>
      </x:c>
      <x:c r="K957" s="22" t="s">
        <x:v>11</x:v>
      </x:c>
    </x:row>
    <x:row r="958" hidden="1">
      <x:c r="A958" s="24" t="s">
        <x:v>604</x:v>
      </x:c>
      <x:c r="B958" s="25">
        <x:v>46082</x:v>
      </x:c>
      <x:c r="C958" s="45" t="str">
        <x:f t="shared" si="14"/>
        <x:v>MARÇO</x:v>
      </x:c>
      <x:c r="D958" s="24" t="s">
        <x:v>89</x:v>
      </x:c>
      <x:c r="E958" s="24" t="s">
        <x:v>467</x:v>
      </x:c>
      <x:c r="F958" s="24" t="s">
        <x:v>66</x:v>
      </x:c>
      <x:c r="G958" s="44">
        <x:v>10017.1</x:v>
      </x:c>
      <x:c r="H958" s="24" t="s">
        <x:v>91</x:v>
      </x:c>
      <x:c r="I958" s="24" t="s">
        <x:v>311</x:v>
      </x:c>
      <x:c r="J958" s="24" t="s">
        <x:v>605</x:v>
      </x:c>
      <x:c r="K958" s="22" t="s">
        <x:v>11</x:v>
      </x:c>
    </x:row>
    <x:row r="959" hidden="1">
      <x:c r="A959" s="24" t="s">
        <x:v>337</x:v>
      </x:c>
      <x:c r="B959" s="25">
        <x:v>46082</x:v>
      </x:c>
      <x:c r="C959" s="45" t="str">
        <x:f t="shared" si="14"/>
        <x:v>MARÇO</x:v>
      </x:c>
      <x:c r="D959" s="24" t="s">
        <x:v>227</x:v>
      </x:c>
      <x:c r="E959" s="24" t="s">
        <x:v>511</x:v>
      </x:c>
      <x:c r="F959" s="24" t="s">
        <x:v>59</x:v>
      </x:c>
      <x:c r="G959" s="44">
        <x:v>-3714.23</x:v>
      </x:c>
      <x:c r="H959" s="24" t="s">
        <x:v>82</x:v>
      </x:c>
      <x:c r="I959" s="24" t="s">
        <x:v>311</x:v>
      </x:c>
      <x:c r="J959" s="24" t="s">
        <x:v>605</x:v>
      </x:c>
      <x:c r="K959" s="22" t="s">
        <x:v>11</x:v>
      </x:c>
    </x:row>
    <x:row r="960" hidden="1">
      <x:c r="A960" s="24" t="s">
        <x:v>337</x:v>
      </x:c>
      <x:c r="B960" s="25">
        <x:v>46082</x:v>
      </x:c>
      <x:c r="C960" s="45" t="str">
        <x:f t="shared" si="14"/>
        <x:v>MARÇO</x:v>
      </x:c>
      <x:c r="D960" s="24" t="s">
        <x:v>227</x:v>
      </x:c>
      <x:c r="E960" s="24" t="s">
        <x:v>511</x:v>
      </x:c>
      <x:c r="F960" s="24" t="s">
        <x:v>314</x:v>
      </x:c>
      <x:c r="G960" s="44">
        <x:v>-1696.96</x:v>
      </x:c>
      <x:c r="H960" s="24" t="s">
        <x:v>82</x:v>
      </x:c>
      <x:c r="I960" s="24" t="s">
        <x:v>311</x:v>
      </x:c>
      <x:c r="J960" s="24" t="s">
        <x:v>605</x:v>
      </x:c>
      <x:c r="K960" s="22" t="s">
        <x:v>11</x:v>
      </x:c>
    </x:row>
    <x:row r="961" hidden="1">
      <x:c r="A961" s="24" t="s">
        <x:v>357</x:v>
      </x:c>
      <x:c r="B961" s="25">
        <x:v>46082</x:v>
      </x:c>
      <x:c r="C961" s="45" t="str">
        <x:f t="shared" si="14"/>
        <x:v>MARÇO</x:v>
      </x:c>
      <x:c r="D961" s="24" t="s">
        <x:v>227</x:v>
      </x:c>
      <x:c r="E961" s="24" t="s">
        <x:v>355</x:v>
      </x:c>
      <x:c r="F961" s="24" t="s">
        <x:v>59</x:v>
      </x:c>
      <x:c r="G961" s="44">
        <x:v>-2479.2399999999998</x:v>
      </x:c>
      <x:c r="H961" s="24" t="s">
        <x:v>82</x:v>
      </x:c>
      <x:c r="I961" s="24" t="s">
        <x:v>311</x:v>
      </x:c>
      <x:c r="J961" s="24" t="s">
        <x:v>605</x:v>
      </x:c>
      <x:c r="K961" s="22" t="s">
        <x:v>11</x:v>
      </x:c>
    </x:row>
    <x:row r="962" hidden="1">
      <x:c r="A962" s="24" t="s">
        <x:v>325</x:v>
      </x:c>
      <x:c r="B962" s="25">
        <x:v>46082</x:v>
      </x:c>
      <x:c r="C962" s="45" t="str">
        <x:f t="shared" ref="C962:C1025" si="15">UPPER(TEXT(B962,"MMMM"))</x:f>
        <x:v>MARCH</x:v>
      </x:c>
      <x:c r="D962" s="24" t="s">
        <x:v>227</x:v>
      </x:c>
      <x:c r="E962" s="24" t="s">
        <x:v>24</x:v>
      </x:c>
      <x:c r="F962" s="24" t="s">
        <x:v>66</x:v>
      </x:c>
      <x:c r="G962" s="44">
        <x:v>-200</x:v>
      </x:c>
      <x:c r="H962" s="24" t="s">
        <x:v>82</x:v>
      </x:c>
      <x:c r="I962" s="24" t="s">
        <x:v>311</x:v>
      </x:c>
      <x:c r="J962" s="24" t="s">
        <x:v>605</x:v>
      </x:c>
      <x:c r="K962" s="22" t="s">
        <x:v>11</x:v>
      </x:c>
    </x:row>
    <x:row r="963" hidden="1">
      <x:c r="A963" s="24" t="s">
        <x:v>309</x:v>
      </x:c>
      <x:c r="B963" s="25">
        <x:v>46082</x:v>
      </x:c>
      <x:c r="C963" s="45" t="str">
        <x:f t="shared" si="15"/>
        <x:v>MARÇO</x:v>
      </x:c>
      <x:c r="D963" s="24" t="s">
        <x:v>227</x:v>
      </x:c>
      <x:c r="E963" s="24" t="s">
        <x:v>10</x:v>
      </x:c>
      <x:c r="F963" s="24" t="s">
        <x:v>59</x:v>
      </x:c>
      <x:c r="G963" s="44">
        <x:v>-1000</x:v>
      </x:c>
      <x:c r="H963" s="24" t="s">
        <x:v>82</x:v>
      </x:c>
      <x:c r="I963" s="24" t="s">
        <x:v>311</x:v>
      </x:c>
      <x:c r="J963" s="24" t="s">
        <x:v>606</x:v>
      </x:c>
      <x:c r="K963" s="22" t="s">
        <x:v>11</x:v>
      </x:c>
    </x:row>
    <x:row r="964" hidden="1">
      <x:c r="A964" s="24" t="s">
        <x:v>472</x:v>
      </x:c>
      <x:c r="B964" s="25">
        <x:v>46082</x:v>
      </x:c>
      <x:c r="C964" s="45" t="str">
        <x:f t="shared" si="15"/>
        <x:v>MARÇO</x:v>
      </x:c>
      <x:c r="D964" s="24" t="s">
        <x:v>227</x:v>
      </x:c>
      <x:c r="E964" s="24" t="s">
        <x:v>10</x:v>
      </x:c>
      <x:c r="F964" s="24" t="s">
        <x:v>59</x:v>
      </x:c>
      <x:c r="G964" s="44">
        <x:v>-90</x:v>
      </x:c>
      <x:c r="H964" s="24" t="s">
        <x:v>82</x:v>
      </x:c>
      <x:c r="I964" s="24" t="s">
        <x:v>311</x:v>
      </x:c>
      <x:c r="J964" s="24" t="s">
        <x:v>606</x:v>
      </x:c>
      <x:c r="K964" s="22" t="s">
        <x:v>11</x:v>
      </x:c>
    </x:row>
    <x:row r="965" hidden="1">
      <x:c r="A965" s="24" t="s">
        <x:v>607</x:v>
      </x:c>
      <x:c r="B965" s="25">
        <x:v>46082</x:v>
      </x:c>
      <x:c r="C965" s="45" t="str">
        <x:f t="shared" si="15"/>
        <x:v>MARÇO</x:v>
      </x:c>
      <x:c r="D965" s="24" t="s">
        <x:v>89</x:v>
      </x:c>
      <x:c r="E965" s="24" t="s">
        <x:v>377</x:v>
      </x:c>
      <x:c r="F965" s="24" t="s">
        <x:v>65</x:v>
      </x:c>
      <x:c r="G965" s="44">
        <x:v>9711.9</x:v>
      </x:c>
      <x:c r="H965" s="24" t="s">
        <x:v>91</x:v>
      </x:c>
      <x:c r="I965" s="24" t="s">
        <x:v>311</x:v>
      </x:c>
      <x:c r="J965" s="23">
        <x:v>46100</x:v>
      </x:c>
      <x:c r="K965" s="22" t="s">
        <x:v>11</x:v>
      </x:c>
    </x:row>
    <x:row r="966" hidden="1">
      <x:c r="A966" s="24" t="s">
        <x:v>608</x:v>
      </x:c>
      <x:c r="B966" s="25">
        <x:v>46082</x:v>
      </x:c>
      <x:c r="C966" s="45" t="str">
        <x:f t="shared" si="15"/>
        <x:v>MARÇO</x:v>
      </x:c>
      <x:c r="D966" s="24" t="s">
        <x:v>89</x:v>
      </x:c>
      <x:c r="E966" s="24" t="s">
        <x:v>609</x:v>
      </x:c>
      <x:c r="F966" s="24" t="s">
        <x:v>314</x:v>
      </x:c>
      <x:c r="G966" s="44">
        <x:v>14311.7</x:v>
      </x:c>
      <x:c r="H966" s="24" t="s">
        <x:v>91</x:v>
      </x:c>
      <x:c r="I966" s="24" t="s">
        <x:v>311</x:v>
      </x:c>
      <x:c r="J966" s="24" t="s">
        <x:v>606</x:v>
      </x:c>
      <x:c r="K966" s="22" t="s">
        <x:v>11</x:v>
      </x:c>
    </x:row>
    <x:row r="967" hidden="1">
      <x:c r="A967" s="24" t="s">
        <x:v>325</x:v>
      </x:c>
      <x:c r="B967" s="25">
        <x:v>46082</x:v>
      </x:c>
      <x:c r="C967" s="45" t="str">
        <x:f t="shared" si="15"/>
        <x:v>MARÇO</x:v>
      </x:c>
      <x:c r="D967" s="24" t="s">
        <x:v>227</x:v>
      </x:c>
      <x:c r="E967" s="24" t="s">
        <x:v>590</x:v>
      </x:c>
      <x:c r="F967" s="24" t="s">
        <x:v>389</x:v>
      </x:c>
      <x:c r="G967" s="44">
        <x:v>-1096.5</x:v>
      </x:c>
      <x:c r="H967" s="24" t="s">
        <x:v>82</x:v>
      </x:c>
      <x:c r="I967" s="24" t="s">
        <x:v>311</x:v>
      </x:c>
      <x:c r="J967" s="24" t="s">
        <x:v>610</x:v>
      </x:c>
      <x:c r="K967" s="22" t="s">
        <x:v>11</x:v>
      </x:c>
    </x:row>
    <x:row r="968" hidden="1">
      <x:c r="A968" s="24" t="s">
        <x:v>309</x:v>
      </x:c>
      <x:c r="B968" s="25">
        <x:v>46082</x:v>
      </x:c>
      <x:c r="C968" s="45" t="str">
        <x:f t="shared" si="15"/>
        <x:v>MARÇO</x:v>
      </x:c>
      <x:c r="D968" s="24" t="s">
        <x:v>227</x:v>
      </x:c>
      <x:c r="E968" s="24" t="s">
        <x:v>327</x:v>
      </x:c>
      <x:c r="F968" s="24" t="s">
        <x:v>314</x:v>
      </x:c>
      <x:c r="G968" s="44">
        <x:v>-4397.2700000000004</x:v>
      </x:c>
      <x:c r="H968" s="24" t="s">
        <x:v>82</x:v>
      </x:c>
      <x:c r="I968" s="24" t="s">
        <x:v>311</x:v>
      </x:c>
      <x:c r="J968" s="24" t="s">
        <x:v>610</x:v>
      </x:c>
      <x:c r="K968" s="22" t="s">
        <x:v>11</x:v>
      </x:c>
    </x:row>
    <x:row r="969" hidden="1">
      <x:c r="A969" s="24" t="s">
        <x:v>309</x:v>
      </x:c>
      <x:c r="B969" s="25">
        <x:v>46082</x:v>
      </x:c>
      <x:c r="C969" s="45" t="str">
        <x:f t="shared" si="15"/>
        <x:v>MARÇO</x:v>
      </x:c>
      <x:c r="D969" s="24" t="s">
        <x:v>227</x:v>
      </x:c>
      <x:c r="E969" s="24" t="s">
        <x:v>327</x:v>
      </x:c>
      <x:c r="F969" s="24" t="s">
        <x:v>59</x:v>
      </x:c>
      <x:c r="G969" s="44">
        <x:v>-7178.71</x:v>
      </x:c>
      <x:c r="H969" s="24" t="s">
        <x:v>82</x:v>
      </x:c>
      <x:c r="I969" s="24" t="s">
        <x:v>311</x:v>
      </x:c>
      <x:c r="J969" s="24" t="s">
        <x:v>610</x:v>
      </x:c>
      <x:c r="K969" s="22" t="s">
        <x:v>11</x:v>
      </x:c>
    </x:row>
    <x:row r="970" hidden="1">
      <x:c r="A970" s="24" t="s">
        <x:v>309</x:v>
      </x:c>
      <x:c r="B970" s="25">
        <x:v>46082</x:v>
      </x:c>
      <x:c r="C970" s="45" t="str">
        <x:f t="shared" si="15"/>
        <x:v>MARÇO</x:v>
      </x:c>
      <x:c r="D970" s="24" t="s">
        <x:v>227</x:v>
      </x:c>
      <x:c r="E970" s="24" t="s">
        <x:v>327</x:v>
      </x:c>
      <x:c r="F970" s="24" t="s">
        <x:v>44</x:v>
      </x:c>
      <x:c r="G970" s="44">
        <x:v>-4066.88</x:v>
      </x:c>
      <x:c r="H970" s="24" t="s">
        <x:v>82</x:v>
      </x:c>
      <x:c r="I970" s="24" t="s">
        <x:v>311</x:v>
      </x:c>
      <x:c r="J970" s="24" t="s">
        <x:v>610</x:v>
      </x:c>
      <x:c r="K970" s="22" t="s">
        <x:v>11</x:v>
      </x:c>
    </x:row>
    <x:row r="971" hidden="1">
      <x:c r="A971" s="24" t="s">
        <x:v>309</x:v>
      </x:c>
      <x:c r="B971" s="25">
        <x:v>46082</x:v>
      </x:c>
      <x:c r="C971" s="45" t="str">
        <x:f t="shared" si="15"/>
        <x:v>MARÇO</x:v>
      </x:c>
      <x:c r="D971" s="24" t="s">
        <x:v>227</x:v>
      </x:c>
      <x:c r="E971" s="24" t="s">
        <x:v>327</x:v>
      </x:c>
      <x:c r="F971" s="24" t="s">
        <x:v>66</x:v>
      </x:c>
      <x:c r="G971" s="44">
        <x:v>-5551.14</x:v>
      </x:c>
      <x:c r="H971" s="24" t="s">
        <x:v>82</x:v>
      </x:c>
      <x:c r="I971" s="24" t="s">
        <x:v>311</x:v>
      </x:c>
      <x:c r="J971" s="24" t="s">
        <x:v>610</x:v>
      </x:c>
      <x:c r="K971" s="22" t="s">
        <x:v>11</x:v>
      </x:c>
    </x:row>
    <x:row r="972" hidden="1">
      <x:c r="A972" s="24" t="s">
        <x:v>309</x:v>
      </x:c>
      <x:c r="B972" s="25">
        <x:v>46082</x:v>
      </x:c>
      <x:c r="C972" s="45" t="str">
        <x:f t="shared" si="15"/>
        <x:v>MARÇO</x:v>
      </x:c>
      <x:c r="D972" s="24" t="s">
        <x:v>227</x:v>
      </x:c>
      <x:c r="E972" s="24" t="s">
        <x:v>567</x:v>
      </x:c>
      <x:c r="F972" s="24" t="s">
        <x:v>314</x:v>
      </x:c>
      <x:c r="G972" s="44">
        <x:v>-8175.7860000000001</x:v>
      </x:c>
      <x:c r="H972" s="24" t="s">
        <x:v>82</x:v>
      </x:c>
      <x:c r="I972" s="24" t="s">
        <x:v>311</x:v>
      </x:c>
      <x:c r="J972" s="24" t="s">
        <x:v>610</x:v>
      </x:c>
      <x:c r="K972" s="22" t="s">
        <x:v>11</x:v>
      </x:c>
    </x:row>
    <x:row r="973" hidden="1">
      <x:c r="A973" s="24" t="s">
        <x:v>309</x:v>
      </x:c>
      <x:c r="B973" s="25">
        <x:v>46082</x:v>
      </x:c>
      <x:c r="C973" s="45" t="str">
        <x:f t="shared" si="15"/>
        <x:v>MARÇO</x:v>
      </x:c>
      <x:c r="D973" s="24" t="s">
        <x:v>227</x:v>
      </x:c>
      <x:c r="E973" s="24" t="s">
        <x:v>567</x:v>
      </x:c>
      <x:c r="F973" s="24" t="s">
        <x:v>59</x:v>
      </x:c>
      <x:c r="G973" s="44">
        <x:v>-8175.7860000000001</x:v>
      </x:c>
      <x:c r="H973" s="24" t="s">
        <x:v>82</x:v>
      </x:c>
      <x:c r="I973" s="24" t="s">
        <x:v>311</x:v>
      </x:c>
      <x:c r="J973" s="24" t="s">
        <x:v>610</x:v>
      </x:c>
      <x:c r="K973" s="22" t="s">
        <x:v>11</x:v>
      </x:c>
    </x:row>
    <x:row r="974" hidden="1">
      <x:c r="A974" s="24" t="s">
        <x:v>309</x:v>
      </x:c>
      <x:c r="B974" s="25">
        <x:v>46082</x:v>
      </x:c>
      <x:c r="C974" s="45" t="str">
        <x:f t="shared" si="15"/>
        <x:v>MARÇO</x:v>
      </x:c>
      <x:c r="D974" s="24" t="s">
        <x:v>227</x:v>
      </x:c>
      <x:c r="E974" s="24" t="s">
        <x:v>567</x:v>
      </x:c>
      <x:c r="F974" s="24" t="s">
        <x:v>44</x:v>
      </x:c>
      <x:c r="G974" s="44">
        <x:v>-8175.7860000000001</x:v>
      </x:c>
      <x:c r="H974" s="24" t="s">
        <x:v>82</x:v>
      </x:c>
      <x:c r="I974" s="24" t="s">
        <x:v>311</x:v>
      </x:c>
      <x:c r="J974" s="24" t="s">
        <x:v>610</x:v>
      </x:c>
      <x:c r="K974" s="22" t="s">
        <x:v>11</x:v>
      </x:c>
    </x:row>
    <x:row r="975" hidden="1">
      <x:c r="A975" s="24" t="s">
        <x:v>309</x:v>
      </x:c>
      <x:c r="B975" s="25">
        <x:v>46082</x:v>
      </x:c>
      <x:c r="C975" s="45" t="str">
        <x:f t="shared" si="15"/>
        <x:v>MARÇO</x:v>
      </x:c>
      <x:c r="D975" s="24" t="s">
        <x:v>227</x:v>
      </x:c>
      <x:c r="E975" s="24" t="s">
        <x:v>567</x:v>
      </x:c>
      <x:c r="F975" s="24" t="s">
        <x:v>66</x:v>
      </x:c>
      <x:c r="G975" s="44">
        <x:v>-8175.7860000000001</x:v>
      </x:c>
      <x:c r="H975" s="24" t="s">
        <x:v>82</x:v>
      </x:c>
      <x:c r="I975" s="24" t="s">
        <x:v>311</x:v>
      </x:c>
      <x:c r="J975" s="24" t="s">
        <x:v>610</x:v>
      </x:c>
      <x:c r="K975" s="22" t="s">
        <x:v>11</x:v>
      </x:c>
    </x:row>
    <x:row r="976" hidden="1">
      <x:c r="A976" s="24" t="s">
        <x:v>309</x:v>
      </x:c>
      <x:c r="B976" s="25">
        <x:v>46082</x:v>
      </x:c>
      <x:c r="C976" s="45" t="str">
        <x:f t="shared" si="15"/>
        <x:v>MARÇO</x:v>
      </x:c>
      <x:c r="D976" s="24" t="s">
        <x:v>227</x:v>
      </x:c>
      <x:c r="E976" s="24" t="s">
        <x:v>567</x:v>
      </x:c>
      <x:c r="F976" s="24" t="s">
        <x:v>65</x:v>
      </x:c>
      <x:c r="G976" s="44">
        <x:v>-8175.7860000000001</x:v>
      </x:c>
      <x:c r="H976" s="24" t="s">
        <x:v>82</x:v>
      </x:c>
      <x:c r="I976" s="24" t="s">
        <x:v>311</x:v>
      </x:c>
      <x:c r="J976" s="24" t="s">
        <x:v>610</x:v>
      </x:c>
      <x:c r="K976" s="22" t="s">
        <x:v>11</x:v>
      </x:c>
    </x:row>
    <x:row r="977" hidden="1">
      <x:c r="A977" s="24" t="s">
        <x:v>611</x:v>
      </x:c>
      <x:c r="B977" s="25">
        <x:v>46082</x:v>
      </x:c>
      <x:c r="C977" s="45" t="str">
        <x:f t="shared" si="15"/>
        <x:v>MARÇO</x:v>
      </x:c>
      <x:c r="D977" s="24" t="s">
        <x:v>89</x:v>
      </x:c>
      <x:c r="E977" s="24" t="s">
        <x:v>570</x:v>
      </x:c>
      <x:c r="F977" s="24" t="s">
        <x:v>44</x:v>
      </x:c>
      <x:c r="G977" s="44">
        <x:v>13123.6</x:v>
      </x:c>
      <x:c r="H977" s="24" t="s">
        <x:v>91</x:v>
      </x:c>
      <x:c r="I977" s="24" t="s">
        <x:v>311</x:v>
      </x:c>
      <x:c r="J977" s="23">
        <x:v>46101</x:v>
      </x:c>
      <x:c r="K977" s="22" t="s">
        <x:v>11</x:v>
      </x:c>
    </x:row>
    <x:row r="978" hidden="1">
      <x:c r="A978" s="24" t="s">
        <x:v>612</x:v>
      </x:c>
      <x:c r="B978" s="25">
        <x:v>46082</x:v>
      </x:c>
      <x:c r="C978" s="45" t="str">
        <x:f t="shared" si="15"/>
        <x:v>MARÇO</x:v>
      </x:c>
      <x:c r="D978" s="24" t="s">
        <x:v>89</x:v>
      </x:c>
      <x:c r="E978" s="24" t="s">
        <x:v>427</x:v>
      </x:c>
      <x:c r="F978" s="24" t="s">
        <x:v>59</x:v>
      </x:c>
      <x:c r="G978" s="44">
        <x:v>12044.5</x:v>
      </x:c>
      <x:c r="H978" s="24" t="s">
        <x:v>91</x:v>
      </x:c>
      <x:c r="I978" s="24" t="s">
        <x:v>311</x:v>
      </x:c>
      <x:c r="J978" s="24" t="s">
        <x:v>613</x:v>
      </x:c>
      <x:c r="K978" s="22" t="s">
        <x:v>11</x:v>
      </x:c>
    </x:row>
    <x:row r="979" hidden="1">
      <x:c r="A979" s="24" t="s">
        <x:v>614</x:v>
      </x:c>
      <x:c r="B979" s="25">
        <x:v>46082</x:v>
      </x:c>
      <x:c r="C979" s="45" t="str">
        <x:f t="shared" si="15"/>
        <x:v>MARÇO</x:v>
      </x:c>
      <x:c r="D979" s="24" t="s">
        <x:v>89</x:v>
      </x:c>
      <x:c r="E979" s="24" t="s">
        <x:v>374</x:v>
      </x:c>
      <x:c r="F979" s="24" t="s">
        <x:v>65</x:v>
      </x:c>
      <x:c r="G979" s="44">
        <x:v>9308.6</x:v>
      </x:c>
      <x:c r="H979" s="24" t="s">
        <x:v>91</x:v>
      </x:c>
      <x:c r="I979" s="24" t="s">
        <x:v>311</x:v>
      </x:c>
      <x:c r="J979" s="24" t="s">
        <x:v>613</x:v>
      </x:c>
      <x:c r="K979" s="22" t="s">
        <x:v>11</x:v>
      </x:c>
    </x:row>
    <x:row r="980" hidden="1">
      <x:c r="A980" s="24" t="s">
        <x:v>615</x:v>
      </x:c>
      <x:c r="B980" s="25">
        <x:v>46082</x:v>
      </x:c>
      <x:c r="C980" s="45" t="str">
        <x:f t="shared" si="15"/>
        <x:v>MARÇO</x:v>
      </x:c>
      <x:c r="D980" s="24" t="s">
        <x:v>89</x:v>
      </x:c>
      <x:c r="E980" s="24" t="s">
        <x:v>565</x:v>
      </x:c>
      <x:c r="F980" s="24" t="s">
        <x:v>44</x:v>
      </x:c>
      <x:c r="G980" s="44">
        <x:v>12633.1</x:v>
      </x:c>
      <x:c r="H980" s="24" t="s">
        <x:v>91</x:v>
      </x:c>
      <x:c r="I980" s="24" t="s">
        <x:v>311</x:v>
      </x:c>
      <x:c r="J980" s="23">
        <x:v>46103</x:v>
      </x:c>
      <x:c r="K980" s="22" t="s">
        <x:v>11</x:v>
      </x:c>
    </x:row>
    <x:row r="981" hidden="1">
      <x:c r="A981" s="24" t="s">
        <x:v>325</x:v>
      </x:c>
      <x:c r="B981" s="25">
        <x:v>46082</x:v>
      </x:c>
      <x:c r="C981" s="45" t="str">
        <x:f t="shared" si="15"/>
        <x:v>MARÇO</x:v>
      </x:c>
      <x:c r="D981" s="24" t="s">
        <x:v>227</x:v>
      </x:c>
      <x:c r="E981" s="24" t="s">
        <x:v>511</x:v>
      </x:c>
      <x:c r="F981" s="24" t="s">
        <x:v>385</x:v>
      </x:c>
      <x:c r="G981" s="44">
        <x:v>-1488.13</x:v>
      </x:c>
      <x:c r="H981" s="24" t="s">
        <x:v>82</x:v>
      </x:c>
      <x:c r="I981" s="24" t="s">
        <x:v>311</x:v>
      </x:c>
      <x:c r="J981" s="27" t="s">
        <x:v>616</x:v>
      </x:c>
      <x:c r="K981" s="22" t="s">
        <x:v>11</x:v>
      </x:c>
    </x:row>
    <x:row r="982" hidden="1">
      <x:c r="A982" s="24" t="s">
        <x:v>335</x:v>
      </x:c>
      <x:c r="B982" s="25">
        <x:v>46082</x:v>
      </x:c>
      <x:c r="C982" s="45" t="str">
        <x:f t="shared" si="15"/>
        <x:v>MARÇO</x:v>
      </x:c>
      <x:c r="D982" s="24" t="s">
        <x:v>132</x:v>
      </x:c>
      <x:c r="E982" s="24" t="s">
        <x:v>336</x:v>
      </x:c>
      <x:c r="F982" s="24" t="s">
        <x:v>59</x:v>
      </x:c>
      <x:c r="G982" s="44">
        <x:v>-2487.63</x:v>
      </x:c>
      <x:c r="H982" s="24" t="s">
        <x:v>82</x:v>
      </x:c>
      <x:c r="I982" s="24" t="s">
        <x:v>311</x:v>
      </x:c>
      <x:c r="J982" s="24" t="s">
        <x:v>617</x:v>
      </x:c>
      <x:c r="K982" s="22" t="s">
        <x:v>11</x:v>
      </x:c>
    </x:row>
    <x:row r="983" hidden="1">
      <x:c r="A983" s="24" t="s">
        <x:v>423</x:v>
      </x:c>
      <x:c r="B983" s="25">
        <x:v>46082</x:v>
      </x:c>
      <x:c r="C983" s="45" t="str">
        <x:f t="shared" si="15"/>
        <x:v>MARÇO</x:v>
      </x:c>
      <x:c r="D983" s="24" t="s">
        <x:v>201</x:v>
      </x:c>
      <x:c r="E983" s="24" t="s">
        <x:v>424</x:v>
      </x:c>
      <x:c r="F983" s="24" t="s">
        <x:v>314</x:v>
      </x:c>
      <x:c r="G983" s="44">
        <x:v>-2191.614</x:v>
      </x:c>
      <x:c r="H983" s="24" t="s">
        <x:v>82</x:v>
      </x:c>
      <x:c r="I983" s="24" t="s">
        <x:v>311</x:v>
      </x:c>
      <x:c r="J983" s="24" t="s">
        <x:v>597</x:v>
      </x:c>
      <x:c r="K983" s="22" t="s">
        <x:v>11</x:v>
      </x:c>
    </x:row>
    <x:row r="984" hidden="1">
      <x:c r="A984" s="24" t="s">
        <x:v>423</x:v>
      </x:c>
      <x:c r="B984" s="25">
        <x:v>46082</x:v>
      </x:c>
      <x:c r="C984" s="45" t="str">
        <x:f t="shared" si="15"/>
        <x:v>MARÇO</x:v>
      </x:c>
      <x:c r="D984" s="24" t="s">
        <x:v>201</x:v>
      </x:c>
      <x:c r="E984" s="24" t="s">
        <x:v>424</x:v>
      </x:c>
      <x:c r="F984" s="24" t="s">
        <x:v>59</x:v>
      </x:c>
      <x:c r="G984" s="44">
        <x:v>-2191.614</x:v>
      </x:c>
      <x:c r="H984" s="24" t="s">
        <x:v>82</x:v>
      </x:c>
      <x:c r="I984" s="24" t="s">
        <x:v>311</x:v>
      </x:c>
      <x:c r="J984" s="24" t="s">
        <x:v>597</x:v>
      </x:c>
      <x:c r="K984" s="22" t="s">
        <x:v>11</x:v>
      </x:c>
    </x:row>
    <x:row r="985" hidden="1">
      <x:c r="A985" s="24" t="s">
        <x:v>423</x:v>
      </x:c>
      <x:c r="B985" s="25">
        <x:v>46082</x:v>
      </x:c>
      <x:c r="C985" s="45" t="str">
        <x:f t="shared" si="15"/>
        <x:v>MARÇO</x:v>
      </x:c>
      <x:c r="D985" s="24" t="s">
        <x:v>201</x:v>
      </x:c>
      <x:c r="E985" s="24" t="s">
        <x:v>424</x:v>
      </x:c>
      <x:c r="F985" s="24" t="s">
        <x:v>481</x:v>
      </x:c>
      <x:c r="G985" s="44">
        <x:v>-2191.614</x:v>
      </x:c>
      <x:c r="H985" s="24" t="s">
        <x:v>82</x:v>
      </x:c>
      <x:c r="I985" s="24" t="s">
        <x:v>311</x:v>
      </x:c>
      <x:c r="J985" s="24" t="s">
        <x:v>597</x:v>
      </x:c>
      <x:c r="K985" s="22" t="s">
        <x:v>11</x:v>
      </x:c>
    </x:row>
    <x:row r="986" ht="15" hidden="1" customHeight="1">
      <x:c r="A986" s="24" t="s">
        <x:v>423</x:v>
      </x:c>
      <x:c r="B986" s="25">
        <x:v>46082</x:v>
      </x:c>
      <x:c r="C986" s="45" t="str">
        <x:f t="shared" si="15"/>
        <x:v>MARÇO</x:v>
      </x:c>
      <x:c r="D986" s="24" t="s">
        <x:v>201</x:v>
      </x:c>
      <x:c r="E986" s="24" t="s">
        <x:v>424</x:v>
      </x:c>
      <x:c r="F986" s="24" t="s">
        <x:v>66</x:v>
      </x:c>
      <x:c r="G986" s="44">
        <x:v>-2191.614</x:v>
      </x:c>
      <x:c r="H986" s="24" t="s">
        <x:v>82</x:v>
      </x:c>
      <x:c r="I986" s="24" t="s">
        <x:v>311</x:v>
      </x:c>
      <x:c r="J986" s="24" t="s">
        <x:v>597</x:v>
      </x:c>
      <x:c r="K986" s="22" t="s">
        <x:v>11</x:v>
      </x:c>
    </x:row>
    <x:row r="987" ht="15" hidden="1" customHeight="1">
      <x:c r="A987" s="24" t="s">
        <x:v>423</x:v>
      </x:c>
      <x:c r="B987" s="25">
        <x:v>46082</x:v>
      </x:c>
      <x:c r="C987" s="45" t="str">
        <x:f t="shared" si="15"/>
        <x:v>MARÇO</x:v>
      </x:c>
      <x:c r="D987" s="24" t="s">
        <x:v>201</x:v>
      </x:c>
      <x:c r="E987" s="24" t="s">
        <x:v>424</x:v>
      </x:c>
      <x:c r="F987" s="24" t="s">
        <x:v>65</x:v>
      </x:c>
      <x:c r="G987" s="44">
        <x:v>-2191.614</x:v>
      </x:c>
      <x:c r="H987" s="24" t="s">
        <x:v>82</x:v>
      </x:c>
      <x:c r="I987" s="24" t="s">
        <x:v>311</x:v>
      </x:c>
      <x:c r="J987" s="24" t="s">
        <x:v>597</x:v>
      </x:c>
      <x:c r="K987" s="22" t="s">
        <x:v>11</x:v>
      </x:c>
    </x:row>
    <x:row r="988" hidden="1">
      <x:c r="A988" s="24" t="s">
        <x:v>618</x:v>
      </x:c>
      <x:c r="B988" s="25">
        <x:v>46082</x:v>
      </x:c>
      <x:c r="C988" s="45" t="str">
        <x:f t="shared" si="15"/>
        <x:v>MARÇO</x:v>
      </x:c>
      <x:c r="D988" s="24" t="s">
        <x:v>89</x:v>
      </x:c>
      <x:c r="E988" s="24" t="s">
        <x:v>377</x:v>
      </x:c>
      <x:c r="F988" s="24" t="s">
        <x:v>66</x:v>
      </x:c>
      <x:c r="G988" s="44">
        <x:v>9134.2000000000007</x:v>
      </x:c>
      <x:c r="H988" s="24" t="s">
        <x:v>91</x:v>
      </x:c>
      <x:c r="I988" s="24" t="s">
        <x:v>311</x:v>
      </x:c>
      <x:c r="J988" s="24" t="s">
        <x:v>619</x:v>
      </x:c>
      <x:c r="K988" s="22" t="s">
        <x:v>11</x:v>
      </x:c>
    </x:row>
    <x:row r="989" hidden="1">
      <x:c r="A989" s="24" t="s">
        <x:v>620</x:v>
      </x:c>
      <x:c r="B989" s="25">
        <x:v>46082</x:v>
      </x:c>
      <x:c r="C989" s="45" t="str">
        <x:f t="shared" si="15"/>
        <x:v>MARÇO</x:v>
      </x:c>
      <x:c r="D989" s="31" t="s">
        <x:v>621</x:v>
      </x:c>
      <x:c r="E989" s="24" t="s">
        <x:v>317</x:v>
      </x:c>
      <x:c r="F989" s="24"/>
      <x:c r="G989" s="44">
        <x:v>-19535.91</x:v>
      </x:c>
      <x:c r="H989" s="24" t="s">
        <x:v>82</x:v>
      </x:c>
      <x:c r="I989" s="24" t="s">
        <x:v>311</x:v>
      </x:c>
      <x:c r="J989" s="24" t="s">
        <x:v>617</x:v>
      </x:c>
      <x:c r="K989" s="22" t="s">
        <x:v>11</x:v>
      </x:c>
    </x:row>
    <x:row r="990" hidden="1">
      <x:c r="A990" s="24" t="s">
        <x:v>622</x:v>
      </x:c>
      <x:c r="B990" s="25">
        <x:v>46082</x:v>
      </x:c>
      <x:c r="C990" s="45" t="str">
        <x:f t="shared" si="15"/>
        <x:v>MARÇO</x:v>
      </x:c>
      <x:c r="D990" s="31" t="s">
        <x:v>621</x:v>
      </x:c>
      <x:c r="E990" s="24" t="s">
        <x:v>317</x:v>
      </x:c>
      <x:c r="F990" s="24"/>
      <x:c r="G990" s="44">
        <x:v>-100</x:v>
      </x:c>
      <x:c r="H990" s="24" t="s">
        <x:v>82</x:v>
      </x:c>
      <x:c r="I990" s="24" t="s">
        <x:v>311</x:v>
      </x:c>
      <x:c r="J990" s="24" t="s">
        <x:v>617</x:v>
      </x:c>
      <x:c r="K990" s="22" t="s">
        <x:v>11</x:v>
      </x:c>
    </x:row>
    <x:row r="991" hidden="1">
      <x:c r="A991" s="24" t="s">
        <x:v>620</x:v>
      </x:c>
      <x:c r="B991" s="25">
        <x:v>46082</x:v>
      </x:c>
      <x:c r="C991" s="45" t="str">
        <x:f t="shared" si="15"/>
        <x:v>MARÇO</x:v>
      </x:c>
      <x:c r="D991" s="31" t="s">
        <x:v>621</x:v>
      </x:c>
      <x:c r="E991" s="24" t="s">
        <x:v>317</x:v>
      </x:c>
      <x:c r="F991" s="24"/>
      <x:c r="G991" s="44">
        <x:v>-4530.49</x:v>
      </x:c>
      <x:c r="H991" s="24" t="s">
        <x:v>82</x:v>
      </x:c>
      <x:c r="I991" s="24" t="s">
        <x:v>311</x:v>
      </x:c>
      <x:c r="J991" s="24" t="s">
        <x:v>617</x:v>
      </x:c>
      <x:c r="K991" s="22" t="s">
        <x:v>11</x:v>
      </x:c>
    </x:row>
    <x:row r="992" hidden="1">
      <x:c r="A992" s="24" t="s">
        <x:v>337</x:v>
      </x:c>
      <x:c r="B992" s="25">
        <x:v>46082</x:v>
      </x:c>
      <x:c r="C992" s="45" t="str">
        <x:f t="shared" si="15"/>
        <x:v>MARÇO</x:v>
      </x:c>
      <x:c r="D992" s="24" t="s">
        <x:v>227</x:v>
      </x:c>
      <x:c r="E992" s="24" t="s">
        <x:v>338</x:v>
      </x:c>
      <x:c r="F992" s="24" t="s">
        <x:v>44</x:v>
      </x:c>
      <x:c r="G992" s="44">
        <x:v>-1796.02</x:v>
      </x:c>
      <x:c r="H992" s="24" t="s">
        <x:v>82</x:v>
      </x:c>
      <x:c r="I992" s="24" t="s">
        <x:v>311</x:v>
      </x:c>
      <x:c r="J992" s="24" t="s">
        <x:v>619</x:v>
      </x:c>
      <x:c r="K992" s="22" t="s">
        <x:v>11</x:v>
      </x:c>
    </x:row>
    <x:row r="993" hidden="1">
      <x:c r="A993" s="24" t="s">
        <x:v>354</x:v>
      </x:c>
      <x:c r="B993" s="25">
        <x:v>46082</x:v>
      </x:c>
      <x:c r="C993" s="45" t="str">
        <x:f t="shared" si="15"/>
        <x:v>MARÇO</x:v>
      </x:c>
      <x:c r="D993" s="24" t="s">
        <x:v>227</x:v>
      </x:c>
      <x:c r="E993" s="24" t="s">
        <x:v>388</x:v>
      </x:c>
      <x:c r="F993" s="24" t="s">
        <x:v>314</x:v>
      </x:c>
      <x:c r="G993" s="44">
        <x:v>-955.31</x:v>
      </x:c>
      <x:c r="H993" s="24" t="s">
        <x:v>82</x:v>
      </x:c>
      <x:c r="I993" s="24" t="s">
        <x:v>311</x:v>
      </x:c>
      <x:c r="J993" s="24" t="s">
        <x:v>619</x:v>
      </x:c>
      <x:c r="K993" s="22" t="s">
        <x:v>11</x:v>
      </x:c>
    </x:row>
    <x:row r="994" hidden="1">
      <x:c r="A994" s="24" t="s">
        <x:v>357</x:v>
      </x:c>
      <x:c r="B994" s="25">
        <x:v>46082</x:v>
      </x:c>
      <x:c r="C994" s="45" t="str">
        <x:f t="shared" si="15"/>
        <x:v>MARÇO</x:v>
      </x:c>
      <x:c r="D994" s="24" t="s">
        <x:v>227</x:v>
      </x:c>
      <x:c r="E994" s="24" t="s">
        <x:v>355</x:v>
      </x:c>
      <x:c r="F994" s="24" t="s">
        <x:v>314</x:v>
      </x:c>
      <x:c r="G994" s="44">
        <x:v>-2210.1999999999998</x:v>
      </x:c>
      <x:c r="H994" s="24" t="s">
        <x:v>82</x:v>
      </x:c>
      <x:c r="I994" s="24" t="s">
        <x:v>311</x:v>
      </x:c>
      <x:c r="J994" s="24" t="s">
        <x:v>619</x:v>
      </x:c>
      <x:c r="K994" s="22" t="s">
        <x:v>11</x:v>
      </x:c>
    </x:row>
    <x:row r="995" hidden="1">
      <x:c r="A995" s="24" t="s">
        <x:v>325</x:v>
      </x:c>
      <x:c r="B995" s="25">
        <x:v>46082</x:v>
      </x:c>
      <x:c r="C995" s="45" t="str">
        <x:f t="shared" si="15"/>
        <x:v>MARÇO</x:v>
      </x:c>
      <x:c r="D995" s="24" t="s">
        <x:v>227</x:v>
      </x:c>
      <x:c r="E995" s="24" t="s">
        <x:v>511</x:v>
      </x:c>
      <x:c r="F995" s="24" t="s">
        <x:v>314</x:v>
      </x:c>
      <x:c r="G995" s="44">
        <x:v>-1308.5899999999999</x:v>
      </x:c>
      <x:c r="H995" s="24" t="s">
        <x:v>82</x:v>
      </x:c>
      <x:c r="I995" s="24" t="s">
        <x:v>311</x:v>
      </x:c>
      <x:c r="J995" s="27" t="s">
        <x:v>619</x:v>
      </x:c>
      <x:c r="K995" s="22" t="s">
        <x:v>11</x:v>
      </x:c>
    </x:row>
    <x:row r="996" hidden="1">
      <x:c r="A996" s="30" t="s">
        <x:v>112</x:v>
      </x:c>
      <x:c r="B996" s="25">
        <x:v>46082</x:v>
      </x:c>
      <x:c r="C996" s="45" t="str">
        <x:f t="shared" si="15"/>
        <x:v>MARÇO</x:v>
      </x:c>
      <x:c r="D996" s="24" t="s">
        <x:v>112</x:v>
      </x:c>
      <x:c r="E996" s="24" t="s">
        <x:v>430</x:v>
      </x:c>
      <x:c r="F996" s="24" t="s">
        <x:v>65</x:v>
      </x:c>
      <x:c r="G996" s="44">
        <x:v>-21322.48</x:v>
      </x:c>
      <x:c r="H996" s="24" t="s">
        <x:v>82</x:v>
      </x:c>
      <x:c r="I996" s="24" t="s">
        <x:v>311</x:v>
      </x:c>
      <x:c r="J996" s="24" t="s">
        <x:v>619</x:v>
      </x:c>
      <x:c r="K996" s="22" t="s">
        <x:v>11</x:v>
      </x:c>
    </x:row>
    <x:row r="997" hidden="1">
      <x:c r="A997" s="24" t="s">
        <x:v>332</x:v>
      </x:c>
      <x:c r="B997" s="25">
        <x:v>46082</x:v>
      </x:c>
      <x:c r="C997" s="45" t="str">
        <x:f t="shared" si="15"/>
        <x:v>MARÇO</x:v>
      </x:c>
      <x:c r="D997" s="31" t="s">
        <x:v>623</x:v>
      </x:c>
      <x:c r="E997" s="24" t="s">
        <x:v>317</x:v>
      </x:c>
      <x:c r="F997" s="24" t="s">
        <x:v>44</x:v>
      </x:c>
      <x:c r="G997" s="44">
        <x:v>-24166.400000000001</x:v>
      </x:c>
      <x:c r="H997" s="24" t="s">
        <x:v>82</x:v>
      </x:c>
      <x:c r="I997" s="24" t="s">
        <x:v>311</x:v>
      </x:c>
      <x:c r="J997" s="23">
        <x:v>46104</x:v>
      </x:c>
      <x:c r="K997" s="22" t="s">
        <x:v>11</x:v>
      </x:c>
    </x:row>
    <x:row r="998" hidden="1">
      <x:c r="A998" s="24" t="s">
        <x:v>309</x:v>
      </x:c>
      <x:c r="B998" s="25">
        <x:v>46082</x:v>
      </x:c>
      <x:c r="C998" s="45" t="str">
        <x:f t="shared" si="15"/>
        <x:v>MARÇO</x:v>
      </x:c>
      <x:c r="D998" s="24" t="s">
        <x:v>227</x:v>
      </x:c>
      <x:c r="E998" s="24" t="s">
        <x:v>10</x:v>
      </x:c>
      <x:c r="F998" s="24" t="s">
        <x:v>314</x:v>
      </x:c>
      <x:c r="G998" s="44">
        <x:v>-4183.2299999999996</x:v>
      </x:c>
      <x:c r="H998" s="24" t="s">
        <x:v>82</x:v>
      </x:c>
      <x:c r="I998" s="24" t="s">
        <x:v>311</x:v>
      </x:c>
      <x:c r="J998" s="23">
        <x:v>46104</x:v>
      </x:c>
      <x:c r="K998" s="22" t="s">
        <x:v>11</x:v>
      </x:c>
    </x:row>
    <x:row r="999" hidden="1">
      <x:c r="A999" s="24" t="s">
        <x:v>309</x:v>
      </x:c>
      <x:c r="B999" s="25">
        <x:v>46082</x:v>
      </x:c>
      <x:c r="C999" s="45" t="str">
        <x:f t="shared" si="15"/>
        <x:v>MARÇO</x:v>
      </x:c>
      <x:c r="D999" s="24" t="s">
        <x:v>227</x:v>
      </x:c>
      <x:c r="E999" s="24" t="s">
        <x:v>13</x:v>
      </x:c>
      <x:c r="F999" s="24" t="s">
        <x:v>59</x:v>
      </x:c>
      <x:c r="G999" s="44">
        <x:v>-3858.24</x:v>
      </x:c>
      <x:c r="H999" s="24" t="s">
        <x:v>82</x:v>
      </x:c>
      <x:c r="I999" s="24" t="s">
        <x:v>311</x:v>
      </x:c>
      <x:c r="J999" s="23">
        <x:v>46104</x:v>
      </x:c>
      <x:c r="K999" s="22" t="s">
        <x:v>11</x:v>
      </x:c>
    </x:row>
    <x:row r="1000" hidden="1">
      <x:c r="A1000" s="24" t="s">
        <x:v>309</x:v>
      </x:c>
      <x:c r="B1000" s="25">
        <x:v>46082</x:v>
      </x:c>
      <x:c r="C1000" s="45" t="str">
        <x:f t="shared" si="15"/>
        <x:v>MARÇO</x:v>
      </x:c>
      <x:c r="D1000" s="24" t="s">
        <x:v>227</x:v>
      </x:c>
      <x:c r="E1000" s="24" t="s">
        <x:v>24</x:v>
      </x:c>
      <x:c r="F1000" s="24" t="s">
        <x:v>66</x:v>
      </x:c>
      <x:c r="G1000" s="44">
        <x:v>-4846.22</x:v>
      </x:c>
      <x:c r="H1000" s="24" t="s">
        <x:v>82</x:v>
      </x:c>
      <x:c r="I1000" s="24" t="s">
        <x:v>311</x:v>
      </x:c>
      <x:c r="J1000" s="23">
        <x:v>46104</x:v>
      </x:c>
      <x:c r="K1000" s="22" t="s">
        <x:v>11</x:v>
      </x:c>
    </x:row>
    <x:row r="1001" hidden="1">
      <x:c r="A1001" s="24" t="s">
        <x:v>309</x:v>
      </x:c>
      <x:c r="B1001" s="25">
        <x:v>46082</x:v>
      </x:c>
      <x:c r="C1001" s="45" t="str">
        <x:f t="shared" si="15"/>
        <x:v>MARÇO</x:v>
      </x:c>
      <x:c r="D1001" s="24" t="s">
        <x:v>227</x:v>
      </x:c>
      <x:c r="E1001" s="24" t="s">
        <x:v>317</x:v>
      </x:c>
      <x:c r="F1001" s="24" t="s">
        <x:v>44</x:v>
      </x:c>
      <x:c r="G1001" s="44">
        <x:v>-4792.68</x:v>
      </x:c>
      <x:c r="H1001" s="24" t="s">
        <x:v>82</x:v>
      </x:c>
      <x:c r="I1001" s="24" t="s">
        <x:v>311</x:v>
      </x:c>
      <x:c r="J1001" s="23">
        <x:v>46104</x:v>
      </x:c>
      <x:c r="K1001" s="22" t="s">
        <x:v>11</x:v>
      </x:c>
    </x:row>
    <x:row r="1002" hidden="1">
      <x:c r="A1002" s="24" t="s">
        <x:v>325</x:v>
      </x:c>
      <x:c r="B1002" s="25">
        <x:v>46082</x:v>
      </x:c>
      <x:c r="C1002" s="45" t="str">
        <x:f t="shared" si="15"/>
        <x:v>MARÇO</x:v>
      </x:c>
      <x:c r="D1002" s="24" t="s">
        <x:v>227</x:v>
      </x:c>
      <x:c r="E1002" s="24" t="s">
        <x:v>24</x:v>
      </x:c>
      <x:c r="F1002" s="24" t="s">
        <x:v>66</x:v>
      </x:c>
      <x:c r="G1002" s="44">
        <x:v>-70</x:v>
      </x:c>
      <x:c r="H1002" s="24" t="s">
        <x:v>82</x:v>
      </x:c>
      <x:c r="I1002" s="24" t="s">
        <x:v>311</x:v>
      </x:c>
      <x:c r="J1002" s="24" t="s">
        <x:v>619</x:v>
      </x:c>
      <x:c r="K1002" s="22" t="s">
        <x:v>11</x:v>
      </x:c>
    </x:row>
    <x:row r="1003" hidden="1">
      <x:c r="A1003" s="24" t="s">
        <x:v>309</x:v>
      </x:c>
      <x:c r="B1003" s="25">
        <x:v>46082</x:v>
      </x:c>
      <x:c r="C1003" s="45" t="str">
        <x:f t="shared" si="15"/>
        <x:v>MARÇO</x:v>
      </x:c>
      <x:c r="D1003" s="24" t="s">
        <x:v>227</x:v>
      </x:c>
      <x:c r="E1003" s="24" t="s">
        <x:v>24</x:v>
      </x:c>
      <x:c r="F1003" s="24" t="s">
        <x:v>66</x:v>
      </x:c>
      <x:c r="G1003" s="44">
        <x:v>-2085</x:v>
      </x:c>
      <x:c r="H1003" s="24" t="s">
        <x:v>82</x:v>
      </x:c>
      <x:c r="I1003" s="24" t="s">
        <x:v>311</x:v>
      </x:c>
      <x:c r="J1003" s="24" t="s">
        <x:v>619</x:v>
      </x:c>
      <x:c r="K1003" s="22" t="s">
        <x:v>11</x:v>
      </x:c>
    </x:row>
    <x:row r="1004" hidden="1">
      <x:c r="A1004" s="24" t="s">
        <x:v>624</x:v>
      </x:c>
      <x:c r="B1004" s="25">
        <x:v>46082</x:v>
      </x:c>
      <x:c r="C1004" s="45" t="str">
        <x:f t="shared" si="15"/>
        <x:v>MARÇO</x:v>
      </x:c>
      <x:c r="D1004" s="24" t="s">
        <x:v>89</x:v>
      </x:c>
      <x:c r="E1004" s="24" t="s">
        <x:v>346</x:v>
      </x:c>
      <x:c r="F1004" s="24" t="s">
        <x:v>59</x:v>
      </x:c>
      <x:c r="G1004" s="44">
        <x:v>11641.2</x:v>
      </x:c>
      <x:c r="H1004" s="24" t="s">
        <x:v>91</x:v>
      </x:c>
      <x:c r="I1004" s="24" t="s">
        <x:v>311</x:v>
      </x:c>
      <x:c r="J1004" s="24" t="s">
        <x:v>619</x:v>
      </x:c>
      <x:c r="K1004" s="22" t="s">
        <x:v>11</x:v>
      </x:c>
    </x:row>
    <x:row r="1005" hidden="1">
      <x:c r="A1005" s="24" t="s">
        <x:v>357</x:v>
      </x:c>
      <x:c r="B1005" s="25">
        <x:v>46082</x:v>
      </x:c>
      <x:c r="C1005" s="45" t="str">
        <x:f t="shared" si="15"/>
        <x:v>MARÇO</x:v>
      </x:c>
      <x:c r="D1005" s="24" t="s">
        <x:v>227</x:v>
      </x:c>
      <x:c r="E1005" s="24" t="s">
        <x:v>355</x:v>
      </x:c>
      <x:c r="F1005" s="24" t="s">
        <x:v>44</x:v>
      </x:c>
      <x:c r="G1005" s="44">
        <x:v>-878.64</x:v>
      </x:c>
      <x:c r="H1005" s="24" t="s">
        <x:v>82</x:v>
      </x:c>
      <x:c r="I1005" s="24" t="s">
        <x:v>311</x:v>
      </x:c>
      <x:c r="J1005" s="24" t="s">
        <x:v>625</x:v>
      </x:c>
      <x:c r="K1005" s="22" t="s">
        <x:v>11</x:v>
      </x:c>
    </x:row>
    <x:row r="1006" hidden="1">
      <x:c r="A1006" s="24" t="s">
        <x:v>325</x:v>
      </x:c>
      <x:c r="B1006" s="25">
        <x:v>46082</x:v>
      </x:c>
      <x:c r="C1006" s="45" t="str">
        <x:f t="shared" si="15"/>
        <x:v>MARÇO</x:v>
      </x:c>
      <x:c r="D1006" s="24" t="s">
        <x:v>227</x:v>
      </x:c>
      <x:c r="E1006" s="24" t="s">
        <x:v>388</x:v>
      </x:c>
      <x:c r="F1006" s="24" t="s">
        <x:v>44</x:v>
      </x:c>
      <x:c r="G1006" s="44">
        <x:v>-188.04</x:v>
      </x:c>
      <x:c r="H1006" s="24" t="s">
        <x:v>82</x:v>
      </x:c>
      <x:c r="I1006" s="24" t="s">
        <x:v>311</x:v>
      </x:c>
      <x:c r="J1006" s="24" t="s">
        <x:v>625</x:v>
      </x:c>
      <x:c r="K1006" s="22" t="s">
        <x:v>11</x:v>
      </x:c>
    </x:row>
    <x:row r="1007" hidden="1">
      <x:c r="A1007" s="24" t="s">
        <x:v>626</x:v>
      </x:c>
      <x:c r="B1007" s="25">
        <x:v>46082</x:v>
      </x:c>
      <x:c r="C1007" s="45" t="str">
        <x:f t="shared" si="15"/>
        <x:v>MARÇO</x:v>
      </x:c>
      <x:c r="D1007" s="24" t="s">
        <x:v>89</x:v>
      </x:c>
      <x:c r="E1007" s="24" t="s">
        <x:v>467</x:v>
      </x:c>
      <x:c r="F1007" s="24" t="s">
        <x:v>44</x:v>
      </x:c>
      <x:c r="G1007" s="44">
        <x:v>13058.2</x:v>
      </x:c>
      <x:c r="H1007" s="24" t="s">
        <x:v>91</x:v>
      </x:c>
      <x:c r="I1007" s="24" t="s">
        <x:v>311</x:v>
      </x:c>
      <x:c r="J1007" s="24" t="s">
        <x:v>625</x:v>
      </x:c>
      <x:c r="K1007" s="22" t="s">
        <x:v>11</x:v>
      </x:c>
    </x:row>
    <x:row r="1008" hidden="1">
      <x:c r="A1008" s="24" t="s">
        <x:v>627</x:v>
      </x:c>
      <x:c r="B1008" s="25">
        <x:v>46082</x:v>
      </x:c>
      <x:c r="C1008" s="45" t="str">
        <x:f t="shared" si="15"/>
        <x:v>MARÇO</x:v>
      </x:c>
      <x:c r="D1008" s="24" t="s">
        <x:v>89</x:v>
      </x:c>
      <x:c r="E1008" s="24" t="s">
        <x:v>321</x:v>
      </x:c>
      <x:c r="F1008" s="24" t="s">
        <x:v>65</x:v>
      </x:c>
      <x:c r="G1008" s="44">
        <x:v>9363.1</x:v>
      </x:c>
      <x:c r="H1008" s="24" t="s">
        <x:v>91</x:v>
      </x:c>
      <x:c r="I1008" s="24" t="s">
        <x:v>311</x:v>
      </x:c>
      <x:c r="J1008" s="24" t="s">
        <x:v>625</x:v>
      </x:c>
      <x:c r="K1008" s="22" t="s">
        <x:v>11</x:v>
      </x:c>
    </x:row>
    <x:row r="1009" hidden="1">
      <x:c r="A1009" s="24" t="s">
        <x:v>335</x:v>
      </x:c>
      <x:c r="B1009" s="25">
        <x:v>46082</x:v>
      </x:c>
      <x:c r="C1009" s="45" t="str">
        <x:f t="shared" si="15"/>
        <x:v>MARÇO</x:v>
      </x:c>
      <x:c r="D1009" s="24" t="s">
        <x:v>132</x:v>
      </x:c>
      <x:c r="E1009" s="24" t="s">
        <x:v>336</x:v>
      </x:c>
      <x:c r="F1009" s="24" t="s">
        <x:v>66</x:v>
      </x:c>
      <x:c r="G1009" s="44">
        <x:v>-2397.86</x:v>
      </x:c>
      <x:c r="H1009" s="24" t="s">
        <x:v>82</x:v>
      </x:c>
      <x:c r="I1009" s="24" t="s">
        <x:v>311</x:v>
      </x:c>
      <x:c r="J1009" s="24" t="s">
        <x:v>628</x:v>
      </x:c>
      <x:c r="K1009" s="22" t="s">
        <x:v>11</x:v>
      </x:c>
    </x:row>
    <x:row r="1010" hidden="1">
      <x:c r="A1010" s="24" t="s">
        <x:v>576</x:v>
      </x:c>
      <x:c r="B1010" s="25">
        <x:v>46082</x:v>
      </x:c>
      <x:c r="C1010" s="45" t="str">
        <x:f t="shared" si="15"/>
        <x:v>MARÇO</x:v>
      </x:c>
      <x:c r="D1010" s="24" t="s">
        <x:v>89</x:v>
      </x:c>
      <x:c r="E1010" s="24" t="s">
        <x:v>374</x:v>
      </x:c>
      <x:c r="F1010" s="24" t="s">
        <x:v>59</x:v>
      </x:c>
      <x:c r="G1010" s="44">
        <x:v>12458.7</x:v>
      </x:c>
      <x:c r="H1010" s="24" t="s">
        <x:v>91</x:v>
      </x:c>
      <x:c r="I1010" s="24" t="s">
        <x:v>311</x:v>
      </x:c>
      <x:c r="J1010" s="24" t="s">
        <x:v>628</x:v>
      </x:c>
      <x:c r="K1010" s="22" t="s">
        <x:v>11</x:v>
      </x:c>
    </x:row>
    <x:row r="1011" hidden="1">
      <x:c r="A1011" s="28" t="s">
        <x:v>629</x:v>
      </x:c>
      <x:c r="B1011" s="25">
        <x:v>46082</x:v>
      </x:c>
      <x:c r="C1011" s="45" t="str">
        <x:f t="shared" si="15"/>
        <x:v>MARÇO</x:v>
      </x:c>
      <x:c r="D1011" s="24" t="s">
        <x:v>89</x:v>
      </x:c>
      <x:c r="E1011" s="28" t="s">
        <x:v>630</x:v>
      </x:c>
      <x:c r="F1011" s="28" t="s">
        <x:v>66</x:v>
      </x:c>
      <x:c r="G1011" s="44">
        <x:v>10115.200000000001</x:v>
      </x:c>
      <x:c r="H1011" s="28" t="s">
        <x:v>91</x:v>
      </x:c>
      <x:c r="I1011" s="28" t="s">
        <x:v>311</x:v>
      </x:c>
      <x:c r="J1011" s="46">
        <x:v>46107</x:v>
      </x:c>
      <x:c r="K1011" s="22" t="s">
        <x:v>11</x:v>
      </x:c>
    </x:row>
    <x:row r="1012" hidden="1">
      <x:c r="A1012" s="28" t="s">
        <x:v>631</x:v>
      </x:c>
      <x:c r="B1012" s="25">
        <x:v>46082</x:v>
      </x:c>
      <x:c r="C1012" s="45" t="str">
        <x:f t="shared" si="15"/>
        <x:v>MARÇO</x:v>
      </x:c>
      <x:c r="D1012" s="24" t="s">
        <x:v>89</x:v>
      </x:c>
      <x:c r="E1012" s="28" t="s">
        <x:v>570</x:v>
      </x:c>
      <x:c r="F1012" s="28" t="s">
        <x:v>65</x:v>
      </x:c>
      <x:c r="G1012" s="44">
        <x:v>9711.9</x:v>
      </x:c>
      <x:c r="H1012" s="28" t="s">
        <x:v>91</x:v>
      </x:c>
      <x:c r="I1012" s="28" t="s">
        <x:v>311</x:v>
      </x:c>
      <x:c r="J1012" s="46">
        <x:v>46108</x:v>
      </x:c>
      <x:c r="K1012" s="22" t="s">
        <x:v>11</x:v>
      </x:c>
    </x:row>
    <x:row r="1013" hidden="1">
      <x:c r="A1013" s="24" t="s">
        <x:v>309</x:v>
      </x:c>
      <x:c r="B1013" s="25">
        <x:v>46082</x:v>
      </x:c>
      <x:c r="C1013" s="45" t="str">
        <x:f t="shared" si="15"/>
        <x:v>MARÇO</x:v>
      </x:c>
      <x:c r="D1013" s="24" t="s">
        <x:v>227</x:v>
      </x:c>
      <x:c r="E1013" s="24" t="s">
        <x:v>327</x:v>
      </x:c>
      <x:c r="F1013" s="24" t="s">
        <x:v>59</x:v>
      </x:c>
      <x:c r="G1013" s="44">
        <x:v>-9087.65</x:v>
      </x:c>
      <x:c r="H1013" s="24" t="s">
        <x:v>82</x:v>
      </x:c>
      <x:c r="I1013" s="24" t="s">
        <x:v>311</x:v>
      </x:c>
      <x:c r="J1013" s="24" t="s">
        <x:v>632</x:v>
      </x:c>
      <x:c r="K1013" s="22" t="s">
        <x:v>11</x:v>
      </x:c>
    </x:row>
    <x:row r="1014" hidden="1">
      <x:c r="A1014" s="24" t="s">
        <x:v>309</x:v>
      </x:c>
      <x:c r="B1014" s="25">
        <x:v>46082</x:v>
      </x:c>
      <x:c r="C1014" s="45" t="str">
        <x:f t="shared" si="15"/>
        <x:v>MARÇO</x:v>
      </x:c>
      <x:c r="D1014" s="24" t="s">
        <x:v>227</x:v>
      </x:c>
      <x:c r="E1014" s="24" t="s">
        <x:v>327</x:v>
      </x:c>
      <x:c r="F1014" s="24" t="s">
        <x:v>44</x:v>
      </x:c>
      <x:c r="G1014" s="44">
        <x:v>-7567.1</x:v>
      </x:c>
      <x:c r="H1014" s="24" t="s">
        <x:v>82</x:v>
      </x:c>
      <x:c r="I1014" s="24" t="s">
        <x:v>311</x:v>
      </x:c>
      <x:c r="J1014" s="24" t="s">
        <x:v>632</x:v>
      </x:c>
      <x:c r="K1014" s="22" t="s">
        <x:v>11</x:v>
      </x:c>
    </x:row>
    <x:row r="1015" hidden="1">
      <x:c r="A1015" s="24" t="s">
        <x:v>309</x:v>
      </x:c>
      <x:c r="B1015" s="25">
        <x:v>46082</x:v>
      </x:c>
      <x:c r="C1015" s="45" t="str">
        <x:f t="shared" si="15"/>
        <x:v>MARÇO</x:v>
      </x:c>
      <x:c r="D1015" s="24" t="s">
        <x:v>227</x:v>
      </x:c>
      <x:c r="E1015" s="24" t="s">
        <x:v>327</x:v>
      </x:c>
      <x:c r="F1015" s="24" t="s">
        <x:v>66</x:v>
      </x:c>
      <x:c r="G1015" s="44">
        <x:v>-5073.6099999999997</x:v>
      </x:c>
      <x:c r="H1015" s="24" t="s">
        <x:v>82</x:v>
      </x:c>
      <x:c r="I1015" s="24" t="s">
        <x:v>311</x:v>
      </x:c>
      <x:c r="J1015" s="24" t="s">
        <x:v>632</x:v>
      </x:c>
      <x:c r="K1015" s="22" t="s">
        <x:v>11</x:v>
      </x:c>
    </x:row>
    <x:row r="1016" hidden="1">
      <x:c r="A1016" s="24" t="s">
        <x:v>309</x:v>
      </x:c>
      <x:c r="B1016" s="25">
        <x:v>46082</x:v>
      </x:c>
      <x:c r="C1016" s="45" t="str">
        <x:f t="shared" si="15"/>
        <x:v>MARÇO</x:v>
      </x:c>
      <x:c r="D1016" s="24" t="s">
        <x:v>227</x:v>
      </x:c>
      <x:c r="E1016" s="24" t="s">
        <x:v>567</x:v>
      </x:c>
      <x:c r="F1016" s="24" t="s">
        <x:v>59</x:v>
      </x:c>
      <x:c r="G1016" s="44">
        <x:v>-11532.1</x:v>
      </x:c>
      <x:c r="H1016" s="24" t="s">
        <x:v>82</x:v>
      </x:c>
      <x:c r="I1016" s="24" t="s">
        <x:v>311</x:v>
      </x:c>
      <x:c r="J1016" s="24" t="s">
        <x:v>632</x:v>
      </x:c>
      <x:c r="K1016" s="22" t="s">
        <x:v>11</x:v>
      </x:c>
    </x:row>
    <x:row r="1017" hidden="1">
      <x:c r="A1017" s="24" t="s">
        <x:v>309</x:v>
      </x:c>
      <x:c r="B1017" s="25">
        <x:v>46082</x:v>
      </x:c>
      <x:c r="C1017" s="45" t="str">
        <x:f t="shared" si="15"/>
        <x:v>MARÇO</x:v>
      </x:c>
      <x:c r="D1017" s="24" t="s">
        <x:v>227</x:v>
      </x:c>
      <x:c r="E1017" s="24" t="s">
        <x:v>567</x:v>
      </x:c>
      <x:c r="F1017" s="24" t="s">
        <x:v>44</x:v>
      </x:c>
      <x:c r="G1017" s="44">
        <x:v>-7367.08</x:v>
      </x:c>
      <x:c r="H1017" s="24" t="s">
        <x:v>82</x:v>
      </x:c>
      <x:c r="I1017" s="24" t="s">
        <x:v>311</x:v>
      </x:c>
      <x:c r="J1017" s="24" t="s">
        <x:v>632</x:v>
      </x:c>
      <x:c r="K1017" s="22" t="s">
        <x:v>11</x:v>
      </x:c>
    </x:row>
    <x:row r="1018" hidden="1">
      <x:c r="A1018" s="24" t="s">
        <x:v>309</x:v>
      </x:c>
      <x:c r="B1018" s="25">
        <x:v>46082</x:v>
      </x:c>
      <x:c r="C1018" s="45" t="str">
        <x:f t="shared" si="15"/>
        <x:v>MARÇO</x:v>
      </x:c>
      <x:c r="D1018" s="24" t="s">
        <x:v>227</x:v>
      </x:c>
      <x:c r="E1018" s="24" t="s">
        <x:v>567</x:v>
      </x:c>
      <x:c r="F1018" s="24" t="s">
        <x:v>65</x:v>
      </x:c>
      <x:c r="G1018" s="44">
        <x:v>-13086.36</x:v>
      </x:c>
      <x:c r="H1018" s="24" t="s">
        <x:v>82</x:v>
      </x:c>
      <x:c r="I1018" s="24" t="s">
        <x:v>311</x:v>
      </x:c>
      <x:c r="J1018" s="24" t="s">
        <x:v>632</x:v>
      </x:c>
      <x:c r="K1018" s="22" t="s">
        <x:v>11</x:v>
      </x:c>
    </x:row>
    <x:row r="1019" hidden="1">
      <x:c r="A1019" s="24" t="s">
        <x:v>309</x:v>
      </x:c>
      <x:c r="B1019" s="25">
        <x:v>46082</x:v>
      </x:c>
      <x:c r="C1019" s="45" t="str">
        <x:f t="shared" si="15"/>
        <x:v>MARÇO</x:v>
      </x:c>
      <x:c r="D1019" s="24" t="s">
        <x:v>227</x:v>
      </x:c>
      <x:c r="E1019" s="24" t="s">
        <x:v>400</x:v>
      </x:c>
      <x:c r="F1019" s="24" t="s">
        <x:v>314</x:v>
      </x:c>
      <x:c r="G1019" s="44">
        <x:v>-4777.6000000000004</x:v>
      </x:c>
      <x:c r="H1019" s="24" t="s">
        <x:v>82</x:v>
      </x:c>
      <x:c r="I1019" s="24" t="s">
        <x:v>311</x:v>
      </x:c>
      <x:c r="J1019" s="24" t="s">
        <x:v>632</x:v>
      </x:c>
      <x:c r="K1019" s="22" t="s">
        <x:v>11</x:v>
      </x:c>
    </x:row>
    <x:row r="1020" hidden="1">
      <x:c r="A1020" s="24" t="s">
        <x:v>309</x:v>
      </x:c>
      <x:c r="B1020" s="25">
        <x:v>46082</x:v>
      </x:c>
      <x:c r="C1020" s="45" t="str">
        <x:f t="shared" si="15"/>
        <x:v>MARÇO</x:v>
      </x:c>
      <x:c r="D1020" s="24" t="s">
        <x:v>227</x:v>
      </x:c>
      <x:c r="E1020" s="24" t="s">
        <x:v>400</x:v>
      </x:c>
      <x:c r="F1020" s="24" t="s">
        <x:v>44</x:v>
      </x:c>
      <x:c r="G1020" s="44">
        <x:v>-2163</x:v>
      </x:c>
      <x:c r="H1020" s="24" t="s">
        <x:v>82</x:v>
      </x:c>
      <x:c r="I1020" s="24" t="s">
        <x:v>311</x:v>
      </x:c>
      <x:c r="J1020" s="24" t="s">
        <x:v>632</x:v>
      </x:c>
      <x:c r="K1020" s="22" t="s">
        <x:v>11</x:v>
      </x:c>
    </x:row>
    <x:row r="1021" hidden="1">
      <x:c r="A1021" s="24" t="s">
        <x:v>309</x:v>
      </x:c>
      <x:c r="B1021" s="25">
        <x:v>46082</x:v>
      </x:c>
      <x:c r="C1021" s="45" t="str">
        <x:f t="shared" si="15"/>
        <x:v>MARÇO</x:v>
      </x:c>
      <x:c r="D1021" s="24" t="s">
        <x:v>227</x:v>
      </x:c>
      <x:c r="E1021" s="24" t="s">
        <x:v>400</x:v>
      </x:c>
      <x:c r="F1021" s="24" t="s">
        <x:v>66</x:v>
      </x:c>
      <x:c r="G1021" s="44">
        <x:v>-1995.78</x:v>
      </x:c>
      <x:c r="H1021" s="24" t="s">
        <x:v>82</x:v>
      </x:c>
      <x:c r="I1021" s="24" t="s">
        <x:v>311</x:v>
      </x:c>
      <x:c r="J1021" s="24" t="s">
        <x:v>632</x:v>
      </x:c>
      <x:c r="K1021" s="22" t="s">
        <x:v>11</x:v>
      </x:c>
    </x:row>
    <x:row r="1022" hidden="1">
      <x:c r="A1022" s="24" t="s">
        <x:v>325</x:v>
      </x:c>
      <x:c r="B1022" s="25">
        <x:v>46082</x:v>
      </x:c>
      <x:c r="C1022" s="45" t="str">
        <x:f t="shared" si="15"/>
        <x:v>MARÇO</x:v>
      </x:c>
      <x:c r="D1022" s="24" t="s">
        <x:v>227</x:v>
      </x:c>
      <x:c r="E1022" s="24" t="s">
        <x:v>511</x:v>
      </x:c>
      <x:c r="F1022" s="24" t="s">
        <x:v>44</x:v>
      </x:c>
      <x:c r="G1022" s="44">
        <x:v>-1550</x:v>
      </x:c>
      <x:c r="H1022" s="24" t="s">
        <x:v>82</x:v>
      </x:c>
      <x:c r="I1022" s="24" t="s">
        <x:v>311</x:v>
      </x:c>
      <x:c r="J1022" s="27" t="s">
        <x:v>633</x:v>
      </x:c>
      <x:c r="K1022" s="22" t="s">
        <x:v>11</x:v>
      </x:c>
    </x:row>
    <x:row r="1023" hidden="1">
      <x:c r="A1023" s="24" t="s">
        <x:v>325</x:v>
      </x:c>
      <x:c r="B1023" s="25">
        <x:v>46082</x:v>
      </x:c>
      <x:c r="C1023" s="45" t="str">
        <x:f t="shared" si="15"/>
        <x:v>MARÇO</x:v>
      </x:c>
      <x:c r="D1023" s="24" t="s">
        <x:v>227</x:v>
      </x:c>
      <x:c r="E1023" s="24" t="s">
        <x:v>511</x:v>
      </x:c>
      <x:c r="F1023" s="24" t="s">
        <x:v>65</x:v>
      </x:c>
      <x:c r="G1023" s="44">
        <x:v>-1550</x:v>
      </x:c>
      <x:c r="H1023" s="24" t="s">
        <x:v>82</x:v>
      </x:c>
      <x:c r="I1023" s="24" t="s">
        <x:v>311</x:v>
      </x:c>
      <x:c r="J1023" s="27" t="s">
        <x:v>634</x:v>
      </x:c>
      <x:c r="K1023" s="22" t="s">
        <x:v>11</x:v>
      </x:c>
    </x:row>
    <x:row r="1024" hidden="1">
      <x:c r="A1024" s="24" t="s">
        <x:v>635</x:v>
      </x:c>
      <x:c r="B1024" s="25">
        <x:v>46082</x:v>
      </x:c>
      <x:c r="C1024" s="45" t="str">
        <x:f t="shared" si="15"/>
        <x:v>MARÇO</x:v>
      </x:c>
      <x:c r="D1024" s="24" t="s">
        <x:v>89</x:v>
      </x:c>
      <x:c r="E1024" s="24" t="s">
        <x:v>484</x:v>
      </x:c>
      <x:c r="F1024" s="24" t="s">
        <x:v>59</x:v>
      </x:c>
      <x:c r="G1024" s="44">
        <x:v>9777.2999999999993</x:v>
      </x:c>
      <x:c r="H1024" s="24" t="s">
        <x:v>91</x:v>
      </x:c>
      <x:c r="I1024" s="24" t="s">
        <x:v>311</x:v>
      </x:c>
      <x:c r="J1024" s="24" t="s">
        <x:v>634</x:v>
      </x:c>
      <x:c r="K1024" s="22" t="s">
        <x:v>11</x:v>
      </x:c>
    </x:row>
    <x:row r="1025" hidden="1">
      <x:c r="A1025" s="24" t="s">
        <x:v>636</x:v>
      </x:c>
      <x:c r="B1025" s="25">
        <x:v>46082</x:v>
      </x:c>
      <x:c r="C1025" s="45" t="str">
        <x:f t="shared" si="15"/>
        <x:v>MARÇO</x:v>
      </x:c>
      <x:c r="D1025" s="24" t="s">
        <x:v>89</x:v>
      </x:c>
      <x:c r="E1025" s="24" t="s">
        <x:v>374</x:v>
      </x:c>
      <x:c r="F1025" s="24" t="s">
        <x:v>66</x:v>
      </x:c>
      <x:c r="G1025" s="44">
        <x:v>9297.7000000000007</x:v>
      </x:c>
      <x:c r="H1025" s="24" t="s">
        <x:v>91</x:v>
      </x:c>
      <x:c r="I1025" s="24" t="s">
        <x:v>311</x:v>
      </x:c>
      <x:c r="J1025" s="24" t="s">
        <x:v>634</x:v>
      </x:c>
      <x:c r="K1025" s="22" t="s">
        <x:v>11</x:v>
      </x:c>
    </x:row>
    <x:row r="1026" hidden="1">
      <x:c r="A1026" s="24" t="s">
        <x:v>325</x:v>
      </x:c>
      <x:c r="B1026" s="25">
        <x:v>46082</x:v>
      </x:c>
      <x:c r="C1026" s="45" t="str">
        <x:f t="shared" ref="C1026:C1089" si="16">UPPER(TEXT(B1026,"MMMM"))</x:f>
        <x:v>MARCH</x:v>
      </x:c>
      <x:c r="D1026" s="24" t="s">
        <x:v>227</x:v>
      </x:c>
      <x:c r="E1026" s="24" t="s">
        <x:v>10</x:v>
      </x:c>
      <x:c r="F1026" s="24" t="s">
        <x:v>44</x:v>
      </x:c>
      <x:c r="G1026" s="44">
        <x:v>-60</x:v>
      </x:c>
      <x:c r="H1026" s="24" t="s">
        <x:v>82</x:v>
      </x:c>
      <x:c r="I1026" s="24" t="s">
        <x:v>311</x:v>
      </x:c>
      <x:c r="J1026" s="24" t="s">
        <x:v>637</x:v>
      </x:c>
      <x:c r="K1026" s="22" t="s">
        <x:v>11</x:v>
      </x:c>
    </x:row>
    <x:row r="1027" hidden="1">
      <x:c r="A1027" s="24" t="s">
        <x:v>309</x:v>
      </x:c>
      <x:c r="B1027" s="25">
        <x:v>46082</x:v>
      </x:c>
      <x:c r="C1027" s="45" t="str">
        <x:f t="shared" si="16"/>
        <x:v>MARÇO</x:v>
      </x:c>
      <x:c r="D1027" s="24" t="s">
        <x:v>227</x:v>
      </x:c>
      <x:c r="E1027" s="24" t="s">
        <x:v>10</x:v>
      </x:c>
      <x:c r="F1027" s="24" t="s">
        <x:v>44</x:v>
      </x:c>
      <x:c r="G1027" s="44">
        <x:v>-800</x:v>
      </x:c>
      <x:c r="H1027" s="24" t="s">
        <x:v>82</x:v>
      </x:c>
      <x:c r="I1027" s="24" t="s">
        <x:v>311</x:v>
      </x:c>
      <x:c r="J1027" s="24" t="s">
        <x:v>637</x:v>
      </x:c>
      <x:c r="K1027" s="22" t="s">
        <x:v>11</x:v>
      </x:c>
    </x:row>
    <x:row r="1028" hidden="1">
      <x:c r="A1028" s="24" t="s">
        <x:v>325</x:v>
      </x:c>
      <x:c r="B1028" s="25">
        <x:v>46082</x:v>
      </x:c>
      <x:c r="C1028" s="45" t="str">
        <x:f t="shared" si="16"/>
        <x:v>MARÇO</x:v>
      </x:c>
      <x:c r="D1028" s="24" t="s">
        <x:v>227</x:v>
      </x:c>
      <x:c r="E1028" s="24" t="s">
        <x:v>10</x:v>
      </x:c>
      <x:c r="F1028" s="24" t="s">
        <x:v>44</x:v>
      </x:c>
      <x:c r="G1028" s="44">
        <x:v>-350</x:v>
      </x:c>
      <x:c r="H1028" s="24" t="s">
        <x:v>82</x:v>
      </x:c>
      <x:c r="I1028" s="24" t="s">
        <x:v>311</x:v>
      </x:c>
      <x:c r="J1028" s="24" t="s">
        <x:v>637</x:v>
      </x:c>
      <x:c r="K1028" s="22" t="s">
        <x:v>11</x:v>
      </x:c>
    </x:row>
    <x:row r="1029" hidden="1">
      <x:c r="A1029" s="24" t="s">
        <x:v>638</x:v>
      </x:c>
      <x:c r="B1029" s="25">
        <x:v>46082</x:v>
      </x:c>
      <x:c r="C1029" s="45" t="str">
        <x:f t="shared" si="16"/>
        <x:v>MARÇO</x:v>
      </x:c>
      <x:c r="D1029" s="24" t="s">
        <x:v>89</x:v>
      </x:c>
      <x:c r="E1029" s="28" t="s">
        <x:v>630</x:v>
      </x:c>
      <x:c r="F1029" s="24" t="s">
        <x:v>44</x:v>
      </x:c>
      <x:c r="G1029" s="44">
        <x:v>14180.9</x:v>
      </x:c>
      <x:c r="H1029" s="24" t="s">
        <x:v>91</x:v>
      </x:c>
      <x:c r="I1029" s="24" t="s">
        <x:v>311</x:v>
      </x:c>
      <x:c r="J1029" s="24" t="s">
        <x:v>637</x:v>
      </x:c>
      <x:c r="K1029" s="22" t="s">
        <x:v>11</x:v>
      </x:c>
    </x:row>
    <x:row r="1030" hidden="1">
      <x:c r="A1030" s="24" t="s">
        <x:v>325</x:v>
      </x:c>
      <x:c r="B1030" s="25">
        <x:v>46082</x:v>
      </x:c>
      <x:c r="C1030" s="45" t="str">
        <x:f t="shared" si="16"/>
        <x:v>MARÇO</x:v>
      </x:c>
      <x:c r="D1030" s="24" t="s">
        <x:v>227</x:v>
      </x:c>
      <x:c r="E1030" s="24" t="s">
        <x:v>24</x:v>
      </x:c>
      <x:c r="F1030" s="24" t="s">
        <x:v>66</x:v>
      </x:c>
      <x:c r="G1030" s="44">
        <x:v>-200</x:v>
      </x:c>
      <x:c r="H1030" s="24" t="s">
        <x:v>82</x:v>
      </x:c>
      <x:c r="I1030" s="24" t="s">
        <x:v>311</x:v>
      </x:c>
      <x:c r="J1030" s="24" t="s">
        <x:v>637</x:v>
      </x:c>
      <x:c r="K1030" s="22" t="s">
        <x:v>11</x:v>
      </x:c>
    </x:row>
    <x:row r="1031" hidden="1">
      <x:c r="A1031" s="24" t="s">
        <x:v>639</x:v>
      </x:c>
      <x:c r="B1031" s="25">
        <x:v>46082</x:v>
      </x:c>
      <x:c r="C1031" s="45" t="str">
        <x:f t="shared" si="16"/>
        <x:v>MARÇO</x:v>
      </x:c>
      <x:c r="D1031" s="24" t="s">
        <x:v>89</x:v>
      </x:c>
      <x:c r="E1031" s="24" t="s">
        <x:v>640</x:v>
      </x:c>
      <x:c r="F1031" s="24" t="s">
        <x:v>65</x:v>
      </x:c>
      <x:c r="G1031" s="44">
        <x:v>9395.7999999999993</x:v>
      </x:c>
      <x:c r="H1031" s="24" t="s">
        <x:v>91</x:v>
      </x:c>
      <x:c r="I1031" s="24" t="s">
        <x:v>311</x:v>
      </x:c>
      <x:c r="J1031" s="24" t="s">
        <x:v>637</x:v>
      </x:c>
      <x:c r="K1031" s="22" t="s">
        <x:v>11</x:v>
      </x:c>
    </x:row>
    <x:row r="1032" hidden="1">
      <x:c r="A1032" s="24" t="s">
        <x:v>337</x:v>
      </x:c>
      <x:c r="B1032" s="25">
        <x:v>46082</x:v>
      </x:c>
      <x:c r="C1032" s="45" t="str">
        <x:f t="shared" si="16"/>
        <x:v>MARÇO</x:v>
      </x:c>
      <x:c r="D1032" s="24" t="s">
        <x:v>227</x:v>
      </x:c>
      <x:c r="E1032" s="24" t="s">
        <x:v>338</x:v>
      </x:c>
      <x:c r="F1032" s="24" t="s">
        <x:v>314</x:v>
      </x:c>
      <x:c r="G1032" s="44">
        <x:v>-666</x:v>
      </x:c>
      <x:c r="H1032" s="24" t="s">
        <x:v>82</x:v>
      </x:c>
      <x:c r="I1032" s="24" t="s">
        <x:v>311</x:v>
      </x:c>
      <x:c r="J1032" s="24" t="s">
        <x:v>633</x:v>
      </x:c>
      <x:c r="K1032" s="22" t="s">
        <x:v>11</x:v>
      </x:c>
    </x:row>
    <x:row r="1033" hidden="1">
      <x:c r="A1033" s="24" t="s">
        <x:v>337</x:v>
      </x:c>
      <x:c r="B1033" s="25">
        <x:v>46082</x:v>
      </x:c>
      <x:c r="C1033" s="45" t="str">
        <x:f t="shared" si="16"/>
        <x:v>MARÇO</x:v>
      </x:c>
      <x:c r="D1033" s="24" t="s">
        <x:v>227</x:v>
      </x:c>
      <x:c r="E1033" s="24" t="s">
        <x:v>338</x:v>
      </x:c>
      <x:c r="F1033" s="24" t="s">
        <x:v>66</x:v>
      </x:c>
      <x:c r="G1033" s="44">
        <x:v>-283.2</x:v>
      </x:c>
      <x:c r="H1033" s="24" t="s">
        <x:v>82</x:v>
      </x:c>
      <x:c r="I1033" s="24" t="s">
        <x:v>311</x:v>
      </x:c>
      <x:c r="J1033" s="24" t="s">
        <x:v>633</x:v>
      </x:c>
      <x:c r="K1033" s="22" t="s">
        <x:v>11</x:v>
      </x:c>
    </x:row>
    <x:row r="1034" hidden="1">
      <x:c r="A1034" s="24" t="s">
        <x:v>335</x:v>
      </x:c>
      <x:c r="B1034" s="25">
        <x:v>46082</x:v>
      </x:c>
      <x:c r="C1034" s="45" t="str">
        <x:f t="shared" si="16"/>
        <x:v>MARÇO</x:v>
      </x:c>
      <x:c r="D1034" s="24" t="s">
        <x:v>132</x:v>
      </x:c>
      <x:c r="E1034" s="24" t="s">
        <x:v>336</x:v>
      </x:c>
      <x:c r="F1034" s="24" t="s">
        <x:v>65</x:v>
      </x:c>
      <x:c r="G1034" s="44">
        <x:v>-2397.86</x:v>
      </x:c>
      <x:c r="H1034" s="24" t="s">
        <x:v>82</x:v>
      </x:c>
      <x:c r="I1034" s="24" t="s">
        <x:v>311</x:v>
      </x:c>
      <x:c r="J1034" s="24" t="s">
        <x:v>633</x:v>
      </x:c>
      <x:c r="K1034" s="22" t="s">
        <x:v>11</x:v>
      </x:c>
    </x:row>
    <x:row r="1035" hidden="1">
      <x:c r="A1035" s="24" t="s">
        <x:v>337</x:v>
      </x:c>
      <x:c r="B1035" s="25">
        <x:v>46082</x:v>
      </x:c>
      <x:c r="C1035" s="45" t="str">
        <x:f t="shared" si="16"/>
        <x:v>MARÇO</x:v>
      </x:c>
      <x:c r="D1035" s="24" t="s">
        <x:v>227</x:v>
      </x:c>
      <x:c r="E1035" s="24" t="s">
        <x:v>338</x:v>
      </x:c>
      <x:c r="F1035" s="24" t="s">
        <x:v>314</x:v>
      </x:c>
      <x:c r="G1035" s="44">
        <x:v>-1388.67</x:v>
      </x:c>
      <x:c r="H1035" s="24" t="s">
        <x:v>82</x:v>
      </x:c>
      <x:c r="I1035" s="24" t="s">
        <x:v>311</x:v>
      </x:c>
      <x:c r="J1035" s="24" t="s">
        <x:v>633</x:v>
      </x:c>
      <x:c r="K1035" s="22" t="s">
        <x:v>11</x:v>
      </x:c>
    </x:row>
    <x:row r="1036" hidden="1">
      <x:c r="A1036" s="24" t="s">
        <x:v>423</x:v>
      </x:c>
      <x:c r="B1036" s="25">
        <x:v>46082</x:v>
      </x:c>
      <x:c r="C1036" s="45" t="str">
        <x:f t="shared" si="16"/>
        <x:v>MARÇO</x:v>
      </x:c>
      <x:c r="D1036" s="24" t="s">
        <x:v>201</x:v>
      </x:c>
      <x:c r="E1036" s="24" t="s">
        <x:v>641</x:v>
      </x:c>
      <x:c r="F1036" s="24" t="s">
        <x:v>314</x:v>
      </x:c>
      <x:c r="G1036" s="44">
        <x:v>-184.74799999999999</x:v>
      </x:c>
      <x:c r="H1036" s="24" t="s">
        <x:v>82</x:v>
      </x:c>
      <x:c r="I1036" s="24" t="s">
        <x:v>311</x:v>
      </x:c>
      <x:c r="J1036" s="24" t="s">
        <x:v>633</x:v>
      </x:c>
      <x:c r="K1036" s="22" t="s">
        <x:v>11</x:v>
      </x:c>
    </x:row>
    <x:row r="1037" hidden="1">
      <x:c r="A1037" s="24" t="s">
        <x:v>423</x:v>
      </x:c>
      <x:c r="B1037" s="25">
        <x:v>46082</x:v>
      </x:c>
      <x:c r="C1037" s="45" t="str">
        <x:f t="shared" si="16"/>
        <x:v>MARÇO</x:v>
      </x:c>
      <x:c r="D1037" s="24" t="s">
        <x:v>201</x:v>
      </x:c>
      <x:c r="E1037" s="24" t="s">
        <x:v>641</x:v>
      </x:c>
      <x:c r="F1037" s="24" t="s">
        <x:v>59</x:v>
      </x:c>
      <x:c r="G1037" s="44">
        <x:v>-184.74799999999999</x:v>
      </x:c>
      <x:c r="H1037" s="24" t="s">
        <x:v>82</x:v>
      </x:c>
      <x:c r="I1037" s="24" t="s">
        <x:v>311</x:v>
      </x:c>
      <x:c r="J1037" s="24" t="s">
        <x:v>633</x:v>
      </x:c>
      <x:c r="K1037" s="22" t="s">
        <x:v>11</x:v>
      </x:c>
    </x:row>
    <x:row r="1038" hidden="1">
      <x:c r="A1038" s="24" t="s">
        <x:v>423</x:v>
      </x:c>
      <x:c r="B1038" s="25">
        <x:v>46082</x:v>
      </x:c>
      <x:c r="C1038" s="45" t="str">
        <x:f t="shared" si="16"/>
        <x:v>MARÇO</x:v>
      </x:c>
      <x:c r="D1038" s="24" t="s">
        <x:v>201</x:v>
      </x:c>
      <x:c r="E1038" s="24" t="s">
        <x:v>641</x:v>
      </x:c>
      <x:c r="F1038" s="24" t="s">
        <x:v>481</x:v>
      </x:c>
      <x:c r="G1038" s="44">
        <x:v>-184.74799999999999</x:v>
      </x:c>
      <x:c r="H1038" s="24" t="s">
        <x:v>82</x:v>
      </x:c>
      <x:c r="I1038" s="24" t="s">
        <x:v>311</x:v>
      </x:c>
      <x:c r="J1038" s="24" t="s">
        <x:v>633</x:v>
      </x:c>
      <x:c r="K1038" s="22" t="s">
        <x:v>11</x:v>
      </x:c>
    </x:row>
    <x:row r="1039" hidden="1">
      <x:c r="A1039" s="24" t="s">
        <x:v>423</x:v>
      </x:c>
      <x:c r="B1039" s="25">
        <x:v>46082</x:v>
      </x:c>
      <x:c r="C1039" s="45" t="str">
        <x:f t="shared" si="16"/>
        <x:v>MARÇO</x:v>
      </x:c>
      <x:c r="D1039" s="24" t="s">
        <x:v>201</x:v>
      </x:c>
      <x:c r="E1039" s="24" t="s">
        <x:v>641</x:v>
      </x:c>
      <x:c r="F1039" s="24" t="s">
        <x:v>66</x:v>
      </x:c>
      <x:c r="G1039" s="44">
        <x:v>-184.74799999999999</x:v>
      </x:c>
      <x:c r="H1039" s="24" t="s">
        <x:v>82</x:v>
      </x:c>
      <x:c r="I1039" s="24" t="s">
        <x:v>311</x:v>
      </x:c>
      <x:c r="J1039" s="24" t="s">
        <x:v>633</x:v>
      </x:c>
      <x:c r="K1039" s="22" t="s">
        <x:v>11</x:v>
      </x:c>
    </x:row>
    <x:row r="1040" hidden="1">
      <x:c r="A1040" s="24" t="s">
        <x:v>423</x:v>
      </x:c>
      <x:c r="B1040" s="25">
        <x:v>46082</x:v>
      </x:c>
      <x:c r="C1040" s="45" t="str">
        <x:f t="shared" si="16"/>
        <x:v>MARÇO</x:v>
      </x:c>
      <x:c r="D1040" s="24" t="s">
        <x:v>201</x:v>
      </x:c>
      <x:c r="E1040" s="24" t="s">
        <x:v>641</x:v>
      </x:c>
      <x:c r="F1040" s="24" t="s">
        <x:v>65</x:v>
      </x:c>
      <x:c r="G1040" s="44">
        <x:v>-184.74799999999999</x:v>
      </x:c>
      <x:c r="H1040" s="24" t="s">
        <x:v>82</x:v>
      </x:c>
      <x:c r="I1040" s="24" t="s">
        <x:v>311</x:v>
      </x:c>
      <x:c r="J1040" s="24" t="s">
        <x:v>633</x:v>
      </x:c>
      <x:c r="K1040" s="22" t="s">
        <x:v>11</x:v>
      </x:c>
    </x:row>
    <x:row r="1041" hidden="1">
      <x:c r="A1041" s="24" t="s">
        <x:v>454</x:v>
      </x:c>
      <x:c r="B1041" s="25">
        <x:v>46082</x:v>
      </x:c>
      <x:c r="C1041" s="45" t="str">
        <x:f t="shared" si="16"/>
        <x:v>MARÇO</x:v>
      </x:c>
      <x:c r="D1041" s="24" t="s">
        <x:v>80</x:v>
      </x:c>
      <x:c r="E1041" s="24" t="s">
        <x:v>10</x:v>
      </x:c>
      <x:c r="F1041" s="24" t="s">
        <x:v>314</x:v>
      </x:c>
      <x:c r="G1041" s="44">
        <x:v>-52.07</x:v>
      </x:c>
      <x:c r="H1041" s="24" t="s">
        <x:v>82</x:v>
      </x:c>
      <x:c r="I1041" s="24" t="s">
        <x:v>311</x:v>
      </x:c>
      <x:c r="J1041" s="24" t="s">
        <x:v>642</x:v>
      </x:c>
      <x:c r="K1041" s="22" t="s">
        <x:v>11</x:v>
      </x:c>
    </x:row>
    <x:row r="1042" hidden="1">
      <x:c r="A1042" s="24" t="s">
        <x:v>454</x:v>
      </x:c>
      <x:c r="B1042" s="25">
        <x:v>46082</x:v>
      </x:c>
      <x:c r="C1042" s="45" t="str">
        <x:f t="shared" si="16"/>
        <x:v>MARÇO</x:v>
      </x:c>
      <x:c r="D1042" s="24" t="s">
        <x:v>80</x:v>
      </x:c>
      <x:c r="E1042" s="24" t="s">
        <x:v>58</x:v>
      </x:c>
      <x:c r="F1042" s="24" t="s">
        <x:v>59</x:v>
      </x:c>
      <x:c r="G1042" s="44">
        <x:v>-52.07</x:v>
      </x:c>
      <x:c r="H1042" s="24" t="s">
        <x:v>82</x:v>
      </x:c>
      <x:c r="I1042" s="24" t="s">
        <x:v>311</x:v>
      </x:c>
      <x:c r="J1042" s="24" t="s">
        <x:v>642</x:v>
      </x:c>
      <x:c r="K1042" s="22" t="s">
        <x:v>11</x:v>
      </x:c>
    </x:row>
    <x:row r="1043" hidden="1">
      <x:c r="A1043" s="24" t="s">
        <x:v>454</x:v>
      </x:c>
      <x:c r="B1043" s="25">
        <x:v>46082</x:v>
      </x:c>
      <x:c r="C1043" s="45" t="str">
        <x:f t="shared" si="16"/>
        <x:v>MARÇO</x:v>
      </x:c>
      <x:c r="D1043" s="24" t="s">
        <x:v>80</x:v>
      </x:c>
      <x:c r="E1043" s="24" t="s">
        <x:v>24</x:v>
      </x:c>
      <x:c r="F1043" s="24" t="s">
        <x:v>66</x:v>
      </x:c>
      <x:c r="G1043" s="44">
        <x:v>-52.07</x:v>
      </x:c>
      <x:c r="H1043" s="24" t="s">
        <x:v>82</x:v>
      </x:c>
      <x:c r="I1043" s="24" t="s">
        <x:v>311</x:v>
      </x:c>
      <x:c r="J1043" s="24" t="s">
        <x:v>642</x:v>
      </x:c>
      <x:c r="K1043" s="22" t="s">
        <x:v>11</x:v>
      </x:c>
    </x:row>
    <x:row r="1044" hidden="1">
      <x:c r="A1044" s="24" t="s">
        <x:v>454</x:v>
      </x:c>
      <x:c r="B1044" s="25">
        <x:v>46082</x:v>
      </x:c>
      <x:c r="C1044" s="45" t="str">
        <x:f t="shared" si="16"/>
        <x:v>MARÇO</x:v>
      </x:c>
      <x:c r="D1044" s="24" t="s">
        <x:v>80</x:v>
      </x:c>
      <x:c r="E1044" s="24" t="s">
        <x:v>23</x:v>
      </x:c>
      <x:c r="F1044" s="24" t="s">
        <x:v>65</x:v>
      </x:c>
      <x:c r="G1044" s="44">
        <x:v>-52.07</x:v>
      </x:c>
      <x:c r="H1044" s="24" t="s">
        <x:v>82</x:v>
      </x:c>
      <x:c r="I1044" s="24" t="s">
        <x:v>311</x:v>
      </x:c>
      <x:c r="J1044" s="24" t="s">
        <x:v>642</x:v>
      </x:c>
      <x:c r="K1044" s="22" t="s">
        <x:v>11</x:v>
      </x:c>
    </x:row>
    <x:row r="1045" hidden="1">
      <x:c r="A1045" s="24" t="s">
        <x:v>454</x:v>
      </x:c>
      <x:c r="B1045" s="25">
        <x:v>46082</x:v>
      </x:c>
      <x:c r="C1045" s="45" t="str">
        <x:f t="shared" si="16"/>
        <x:v>MARÇO</x:v>
      </x:c>
      <x:c r="D1045" s="24" t="s">
        <x:v>80</x:v>
      </x:c>
      <x:c r="E1045" s="24" t="s">
        <x:v>563</x:v>
      </x:c>
      <x:c r="F1045" s="24" t="s">
        <x:v>44</x:v>
      </x:c>
      <x:c r="G1045" s="44">
        <x:v>-52.07</x:v>
      </x:c>
      <x:c r="H1045" s="24" t="s">
        <x:v>82</x:v>
      </x:c>
      <x:c r="I1045" s="24" t="s">
        <x:v>311</x:v>
      </x:c>
      <x:c r="J1045" s="24" t="s">
        <x:v>642</x:v>
      </x:c>
      <x:c r="K1045" s="22" t="s">
        <x:v>11</x:v>
      </x:c>
    </x:row>
    <x:row r="1046" hidden="1">
      <x:c r="A1046" s="24" t="s">
        <x:v>643</x:v>
      </x:c>
      <x:c r="B1046" s="25">
        <x:v>46082</x:v>
      </x:c>
      <x:c r="C1046" s="45" t="str">
        <x:f t="shared" si="16"/>
        <x:v>MARÇO</x:v>
      </x:c>
      <x:c r="D1046" s="24" t="s">
        <x:v>89</x:v>
      </x:c>
      <x:c r="E1046" s="24" t="s">
        <x:v>467</x:v>
      </x:c>
      <x:c r="F1046" s="24" t="s">
        <x:v>44</x:v>
      </x:c>
      <x:c r="G1046" s="44">
        <x:v>13821.2</x:v>
      </x:c>
      <x:c r="H1046" s="24" t="s">
        <x:v>91</x:v>
      </x:c>
      <x:c r="I1046" s="24" t="s">
        <x:v>311</x:v>
      </x:c>
      <x:c r="J1046" s="24" t="s">
        <x:v>642</x:v>
      </x:c>
      <x:c r="K1046" s="22" t="s">
        <x:v>11</x:v>
      </x:c>
    </x:row>
    <x:row r="1047" hidden="1">
      <x:c r="A1047" s="24" t="s">
        <x:v>644</x:v>
      </x:c>
      <x:c r="B1047" s="25">
        <x:v>46082</x:v>
      </x:c>
      <x:c r="C1047" s="45" t="str">
        <x:f t="shared" si="16"/>
        <x:v>MARÇO</x:v>
      </x:c>
      <x:c r="D1047" s="24" t="s">
        <x:v>89</x:v>
      </x:c>
      <x:c r="E1047" s="24" t="s">
        <x:v>377</x:v>
      </x:c>
      <x:c r="F1047" s="24" t="s">
        <x:v>59</x:v>
      </x:c>
      <x:c r="G1047" s="44">
        <x:v>12120.8</x:v>
      </x:c>
      <x:c r="H1047" s="24" t="s">
        <x:v>91</x:v>
      </x:c>
      <x:c r="I1047" s="24" t="s">
        <x:v>311</x:v>
      </x:c>
      <x:c r="J1047" s="24" t="s">
        <x:v>642</x:v>
      </x:c>
      <x:c r="K1047" s="22" t="s">
        <x:v>11</x:v>
      </x:c>
    </x:row>
    <x:row r="1048" hidden="1">
      <x:c r="A1048" s="24" t="s">
        <x:v>645</x:v>
      </x:c>
      <x:c r="B1048" s="25">
        <x:v>46082</x:v>
      </x:c>
      <x:c r="C1048" s="45" t="str">
        <x:f t="shared" si="16"/>
        <x:v>MARÇO</x:v>
      </x:c>
      <x:c r="D1048" s="24" t="s">
        <x:v>89</x:v>
      </x:c>
      <x:c r="E1048" s="24" t="s">
        <x:v>344</x:v>
      </x:c>
      <x:c r="F1048" s="24" t="s">
        <x:v>66</x:v>
      </x:c>
      <x:c r="G1048" s="44">
        <x:v>9810</x:v>
      </x:c>
      <x:c r="H1048" s="24" t="s">
        <x:v>91</x:v>
      </x:c>
      <x:c r="I1048" s="24" t="s">
        <x:v>311</x:v>
      </x:c>
      <x:c r="J1048" s="24" t="s">
        <x:v>642</x:v>
      </x:c>
      <x:c r="K1048" s="22" t="s">
        <x:v>11</x:v>
      </x:c>
    </x:row>
    <x:row r="1049" hidden="1">
      <x:c r="A1049" s="24" t="s">
        <x:v>646</x:v>
      </x:c>
      <x:c r="B1049" s="25">
        <x:v>46082</x:v>
      </x:c>
      <x:c r="C1049" s="45" t="str">
        <x:f t="shared" si="16"/>
        <x:v>MARÇO</x:v>
      </x:c>
      <x:c r="D1049" s="24" t="s">
        <x:v>89</x:v>
      </x:c>
      <x:c r="E1049" s="24" t="s">
        <x:v>359</x:v>
      </x:c>
      <x:c r="F1049" s="24" t="s">
        <x:v>65</x:v>
      </x:c>
      <x:c r="G1049" s="44">
        <x:v>9548.4</x:v>
      </x:c>
      <x:c r="H1049" s="24" t="s">
        <x:v>91</x:v>
      </x:c>
      <x:c r="I1049" s="24" t="s">
        <x:v>311</x:v>
      </x:c>
      <x:c r="J1049" s="24" t="s">
        <x:v>642</x:v>
      </x:c>
      <x:c r="K1049" s="22" t="s">
        <x:v>11</x:v>
      </x:c>
    </x:row>
    <x:row r="1050" hidden="1">
      <x:c r="A1050" s="24" t="s">
        <x:v>647</x:v>
      </x:c>
      <x:c r="B1050" s="25">
        <x:v>46082</x:v>
      </x:c>
      <x:c r="C1050" s="45" t="str">
        <x:f t="shared" si="16"/>
        <x:v>MARÇO</x:v>
      </x:c>
      <x:c r="D1050" s="24" t="s">
        <x:v>162</x:v>
      </x:c>
      <x:c r="E1050" s="24" t="s">
        <x:v>10</x:v>
      </x:c>
      <x:c r="F1050" s="24" t="s">
        <x:v>314</x:v>
      </x:c>
      <x:c r="G1050" s="44">
        <x:v>-3600</x:v>
      </x:c>
      <x:c r="H1050" s="24" t="s">
        <x:v>82</x:v>
      </x:c>
      <x:c r="I1050" s="24" t="s">
        <x:v>311</x:v>
      </x:c>
      <x:c r="J1050" s="23">
        <x:v>46112</x:v>
      </x:c>
      <x:c r="K1050" s="22" t="s">
        <x:v>11</x:v>
      </x:c>
    </x:row>
    <x:row r="1051" hidden="1">
      <x:c r="A1051" s="24" t="s">
        <x:v>647</x:v>
      </x:c>
      <x:c r="B1051" s="25">
        <x:v>46082</x:v>
      </x:c>
      <x:c r="C1051" s="45" t="str">
        <x:f t="shared" si="16"/>
        <x:v>MARÇO</x:v>
      </x:c>
      <x:c r="D1051" s="24" t="s">
        <x:v>162</x:v>
      </x:c>
      <x:c r="E1051" s="24" t="s">
        <x:v>648</x:v>
      </x:c>
      <x:c r="F1051" s="24" t="s">
        <x:v>44</x:v>
      </x:c>
      <x:c r="G1051" s="44">
        <x:v>-2800</x:v>
      </x:c>
      <x:c r="H1051" s="24" t="s">
        <x:v>82</x:v>
      </x:c>
      <x:c r="I1051" s="24" t="s">
        <x:v>311</x:v>
      </x:c>
      <x:c r="J1051" s="23">
        <x:v>46112</x:v>
      </x:c>
      <x:c r="K1051" s="22" t="s">
        <x:v>11</x:v>
      </x:c>
    </x:row>
    <x:row r="1052" hidden="1">
      <x:c r="A1052" s="24" t="s">
        <x:v>647</x:v>
      </x:c>
      <x:c r="B1052" s="25">
        <x:v>46082</x:v>
      </x:c>
      <x:c r="C1052" s="45" t="str">
        <x:f t="shared" si="16"/>
        <x:v>MARÇO</x:v>
      </x:c>
      <x:c r="D1052" s="24" t="s">
        <x:v>162</x:v>
      </x:c>
      <x:c r="E1052" s="24" t="s">
        <x:v>13</x:v>
      </x:c>
      <x:c r="F1052" s="24" t="s">
        <x:v>59</x:v>
      </x:c>
      <x:c r="G1052" s="44">
        <x:v>-4000</x:v>
      </x:c>
      <x:c r="H1052" s="24" t="s">
        <x:v>82</x:v>
      </x:c>
      <x:c r="I1052" s="24" t="s">
        <x:v>311</x:v>
      </x:c>
      <x:c r="J1052" s="23">
        <x:v>46112</x:v>
      </x:c>
      <x:c r="K1052" s="22" t="s">
        <x:v>11</x:v>
      </x:c>
    </x:row>
    <x:row r="1053" hidden="1">
      <x:c r="A1053" s="24" t="s">
        <x:v>647</x:v>
      </x:c>
      <x:c r="B1053" s="25">
        <x:v>46082</x:v>
      </x:c>
      <x:c r="C1053" s="45" t="str">
        <x:f t="shared" si="16"/>
        <x:v>MARÇO</x:v>
      </x:c>
      <x:c r="D1053" s="24" t="s">
        <x:v>162</x:v>
      </x:c>
      <x:c r="E1053" s="24" t="s">
        <x:v>23</x:v>
      </x:c>
      <x:c r="F1053" s="24" t="s">
        <x:v>65</x:v>
      </x:c>
      <x:c r="G1053" s="44">
        <x:v>-4000</x:v>
      </x:c>
      <x:c r="H1053" s="24" t="s">
        <x:v>82</x:v>
      </x:c>
      <x:c r="I1053" s="24" t="s">
        <x:v>311</x:v>
      </x:c>
      <x:c r="J1053" s="23">
        <x:v>46112</x:v>
      </x:c>
      <x:c r="K1053" s="22" t="s">
        <x:v>11</x:v>
      </x:c>
    </x:row>
    <x:row r="1054" hidden="1">
      <x:c r="A1054" s="24" t="s">
        <x:v>647</x:v>
      </x:c>
      <x:c r="B1054" s="25">
        <x:v>46082</x:v>
      </x:c>
      <x:c r="C1054" s="45" t="str">
        <x:f t="shared" si="16"/>
        <x:v>MARÇO</x:v>
      </x:c>
      <x:c r="D1054" s="24" t="s">
        <x:v>162</x:v>
      </x:c>
      <x:c r="E1054" s="24" t="s">
        <x:v>649</x:v>
      </x:c>
      <x:c r="F1054" s="24" t="s">
        <x:v>44</x:v>
      </x:c>
      <x:c r="G1054" s="44">
        <x:v>-800</x:v>
      </x:c>
      <x:c r="H1054" s="24" t="s">
        <x:v>82</x:v>
      </x:c>
      <x:c r="I1054" s="24" t="s">
        <x:v>311</x:v>
      </x:c>
      <x:c r="J1054" s="23">
        <x:v>46112</x:v>
      </x:c>
      <x:c r="K1054" s="22" t="s">
        <x:v>11</x:v>
      </x:c>
    </x:row>
    <x:row r="1055" hidden="1">
      <x:c r="A1055" s="24" t="s">
        <x:v>647</x:v>
      </x:c>
      <x:c r="B1055" s="25">
        <x:v>46082</x:v>
      </x:c>
      <x:c r="C1055" s="45" t="str">
        <x:f t="shared" si="16"/>
        <x:v>MARÇO</x:v>
      </x:c>
      <x:c r="D1055" s="24" t="s">
        <x:v>162</x:v>
      </x:c>
      <x:c r="E1055" s="24" t="s">
        <x:v>24</x:v>
      </x:c>
      <x:c r="F1055" s="24" t="s">
        <x:v>66</x:v>
      </x:c>
      <x:c r="G1055" s="44">
        <x:v>-4000</x:v>
      </x:c>
      <x:c r="H1055" s="24" t="s">
        <x:v>82</x:v>
      </x:c>
      <x:c r="I1055" s="24" t="s">
        <x:v>311</x:v>
      </x:c>
      <x:c r="J1055" s="23">
        <x:v>46112</x:v>
      </x:c>
      <x:c r="K1055" s="22" t="s">
        <x:v>11</x:v>
      </x:c>
    </x:row>
    <x:row r="1056" hidden="1">
      <x:c r="A1056" s="24" t="s">
        <x:v>337</x:v>
      </x:c>
      <x:c r="B1056" s="25">
        <x:v>46113</x:v>
      </x:c>
      <x:c r="C1056" s="45" t="str">
        <x:f t="shared" si="16"/>
        <x:v>ABRIL</x:v>
      </x:c>
      <x:c r="D1056" s="24" t="s">
        <x:v>227</x:v>
      </x:c>
      <x:c r="E1056" s="24" t="s">
        <x:v>170</x:v>
      </x:c>
      <x:c r="F1056" s="24" t="s">
        <x:v>314</x:v>
      </x:c>
      <x:c r="G1056" s="44">
        <x:v>-3811.13</x:v>
      </x:c>
      <x:c r="H1056" s="24" t="s">
        <x:v>82</x:v>
      </x:c>
      <x:c r="I1056" s="24" t="s">
        <x:v>311</x:v>
      </x:c>
      <x:c r="J1056" s="24" t="s">
        <x:v>650</x:v>
      </x:c>
      <x:c r="K1056" s="22" t="s">
        <x:v>11</x:v>
      </x:c>
    </x:row>
    <x:row r="1057" hidden="1">
      <x:c r="A1057" s="24" t="s">
        <x:v>442</x:v>
      </x:c>
      <x:c r="B1057" s="25">
        <x:v>46113</x:v>
      </x:c>
      <x:c r="C1057" s="45" t="str">
        <x:f t="shared" si="16"/>
        <x:v>ABRIL</x:v>
      </x:c>
      <x:c r="D1057" s="24" t="s">
        <x:v>227</x:v>
      </x:c>
      <x:c r="E1057" s="24" t="s">
        <x:v>651</x:v>
      </x:c>
      <x:c r="F1057" s="24" t="s">
        <x:v>62</x:v>
      </x:c>
      <x:c r="G1057" s="44">
        <x:v>-3516.3</x:v>
      </x:c>
      <x:c r="H1057" s="24" t="s">
        <x:v>82</x:v>
      </x:c>
      <x:c r="I1057" s="24" t="s">
        <x:v>311</x:v>
      </x:c>
      <x:c r="J1057" s="24" t="s">
        <x:v>652</x:v>
      </x:c>
      <x:c r="K1057" s="22" t="s">
        <x:v>11</x:v>
      </x:c>
    </x:row>
    <x:row r="1058" hidden="1">
      <x:c r="A1058" s="24" t="s">
        <x:v>325</x:v>
      </x:c>
      <x:c r="B1058" s="25">
        <x:v>46113</x:v>
      </x:c>
      <x:c r="C1058" s="45" t="str">
        <x:f t="shared" si="16"/>
        <x:v>ABRIL</x:v>
      </x:c>
      <x:c r="D1058" s="24" t="s">
        <x:v>227</x:v>
      </x:c>
      <x:c r="E1058" s="24" t="s">
        <x:v>653</x:v>
      </x:c>
      <x:c r="F1058" s="24" t="s">
        <x:v>66</x:v>
      </x:c>
      <x:c r="G1058" s="44">
        <x:v>-7000</x:v>
      </x:c>
      <x:c r="H1058" s="24" t="s">
        <x:v>82</x:v>
      </x:c>
      <x:c r="I1058" s="24" t="s">
        <x:v>311</x:v>
      </x:c>
      <x:c r="J1058" s="24" t="s">
        <x:v>652</x:v>
      </x:c>
      <x:c r="K1058" s="22" t="s">
        <x:v>11</x:v>
      </x:c>
    </x:row>
    <x:row r="1059" hidden="1">
      <x:c r="A1059" s="24" t="s">
        <x:v>357</x:v>
      </x:c>
      <x:c r="B1059" s="25">
        <x:v>46082</x:v>
      </x:c>
      <x:c r="C1059" s="45" t="str">
        <x:f t="shared" si="16"/>
        <x:v>MARÇO</x:v>
      </x:c>
      <x:c r="D1059" s="24" t="s">
        <x:v>227</x:v>
      </x:c>
      <x:c r="E1059" s="24" t="s">
        <x:v>654</x:v>
      </x:c>
      <x:c r="F1059" s="24" t="s">
        <x:v>62</x:v>
      </x:c>
      <x:c r="G1059" s="44">
        <x:v>-1382.36</x:v>
      </x:c>
      <x:c r="H1059" s="24" t="s">
        <x:v>82</x:v>
      </x:c>
      <x:c r="I1059" s="24" t="s">
        <x:v>311</x:v>
      </x:c>
      <x:c r="J1059" s="24" t="s">
        <x:v>606</x:v>
      </x:c>
      <x:c r="K1059" s="22" t="s">
        <x:v>11</x:v>
      </x:c>
    </x:row>
    <x:row r="1060" hidden="1">
      <x:c r="A1060" s="24" t="s">
        <x:v>655</x:v>
      </x:c>
      <x:c r="B1060" s="25">
        <x:v>46113</x:v>
      </x:c>
      <x:c r="C1060" s="45" t="str">
        <x:f t="shared" si="16"/>
        <x:v>ABRIL</x:v>
      </x:c>
      <x:c r="D1060" s="24" t="s">
        <x:v>89</x:v>
      </x:c>
      <x:c r="E1060" s="24" t="s">
        <x:v>374</x:v>
      </x:c>
      <x:c r="F1060" s="24" t="s">
        <x:v>65</x:v>
      </x:c>
      <x:c r="G1060" s="44">
        <x:v>9657.4</x:v>
      </x:c>
      <x:c r="H1060" s="24" t="s">
        <x:v>91</x:v>
      </x:c>
      <x:c r="I1060" s="24" t="s">
        <x:v>311</x:v>
      </x:c>
      <x:c r="J1060" s="24" t="s">
        <x:v>650</x:v>
      </x:c>
      <x:c r="K1060" s="22" t="s">
        <x:v>11</x:v>
      </x:c>
    </x:row>
    <x:row r="1061" hidden="1">
      <x:c r="A1061" s="24" t="s">
        <x:v>325</x:v>
      </x:c>
      <x:c r="B1061" s="25">
        <x:v>46113</x:v>
      </x:c>
      <x:c r="C1061" s="45" t="str">
        <x:f t="shared" si="16"/>
        <x:v>ABRIL</x:v>
      </x:c>
      <x:c r="D1061" s="24" t="s">
        <x:v>227</x:v>
      </x:c>
      <x:c r="E1061" s="24" t="s">
        <x:v>656</x:v>
      </x:c>
      <x:c r="F1061" s="24" t="s">
        <x:v>66</x:v>
      </x:c>
      <x:c r="G1061" s="44">
        <x:v>-970</x:v>
      </x:c>
      <x:c r="H1061" s="24" t="s">
        <x:v>82</x:v>
      </x:c>
      <x:c r="I1061" s="24" t="s">
        <x:v>311</x:v>
      </x:c>
      <x:c r="J1061" s="24" t="s">
        <x:v>650</x:v>
      </x:c>
      <x:c r="K1061" s="22" t="s">
        <x:v>11</x:v>
      </x:c>
    </x:row>
    <x:row r="1062" hidden="1">
      <x:c r="A1062" s="24" t="s">
        <x:v>657</x:v>
      </x:c>
      <x:c r="B1062" s="25">
        <x:v>46082</x:v>
      </x:c>
      <x:c r="C1062" s="45" t="str">
        <x:f t="shared" si="16"/>
        <x:v>MARÇO</x:v>
      </x:c>
      <x:c r="D1062" s="24" t="s">
        <x:v>112</x:v>
      </x:c>
      <x:c r="E1062" s="24" t="s">
        <x:v>658</x:v>
      </x:c>
      <x:c r="F1062" s="24" t="s">
        <x:v>62</x:v>
      </x:c>
      <x:c r="G1062" s="44">
        <x:v>-20000</x:v>
      </x:c>
      <x:c r="H1062" s="24" t="s">
        <x:v>82</x:v>
      </x:c>
      <x:c r="I1062" s="24" t="s">
        <x:v>311</x:v>
      </x:c>
      <x:c r="J1062" s="24" t="s">
        <x:v>652</x:v>
      </x:c>
      <x:c r="K1062" s="22" t="s">
        <x:v>11</x:v>
      </x:c>
    </x:row>
    <x:row r="1063" hidden="1">
      <x:c r="A1063" s="24" t="s">
        <x:v>659</x:v>
      </x:c>
      <x:c r="B1063" s="25">
        <x:v>46082</x:v>
      </x:c>
      <x:c r="C1063" s="45" t="str">
        <x:f t="shared" si="16"/>
        <x:v>MARÇO</x:v>
      </x:c>
      <x:c r="D1063" s="24" t="s">
        <x:v>112</x:v>
      </x:c>
      <x:c r="E1063" s="24" t="s">
        <x:v>660</x:v>
      </x:c>
      <x:c r="F1063" s="24" t="s">
        <x:v>62</x:v>
      </x:c>
      <x:c r="G1063" s="44">
        <x:v>-3850.46</x:v>
      </x:c>
      <x:c r="H1063" s="24" t="s">
        <x:v>82</x:v>
      </x:c>
      <x:c r="I1063" s="24" t="s">
        <x:v>311</x:v>
      </x:c>
      <x:c r="J1063" s="24" t="s">
        <x:v>652</x:v>
      </x:c>
      <x:c r="K1063" s="22" t="s">
        <x:v>11</x:v>
      </x:c>
    </x:row>
    <x:row r="1064" hidden="1">
      <x:c r="A1064" s="24" t="s">
        <x:v>661</x:v>
      </x:c>
      <x:c r="B1064" s="25">
        <x:v>46113</x:v>
      </x:c>
      <x:c r="C1064" s="45" t="str">
        <x:f t="shared" si="16"/>
        <x:v>ABRIL</x:v>
      </x:c>
      <x:c r="D1064" s="24" t="s">
        <x:v>112</x:v>
      </x:c>
      <x:c r="E1064" s="24" t="s">
        <x:v>662</x:v>
      </x:c>
      <x:c r="F1064" s="24" t="s">
        <x:v>62</x:v>
      </x:c>
      <x:c r="G1064" s="44">
        <x:v>-5239.97</x:v>
      </x:c>
      <x:c r="H1064" s="24" t="s">
        <x:v>82</x:v>
      </x:c>
      <x:c r="I1064" s="24" t="s">
        <x:v>311</x:v>
      </x:c>
      <x:c r="J1064" s="24" t="s">
        <x:v>650</x:v>
      </x:c>
      <x:c r="K1064" s="22" t="s">
        <x:v>11</x:v>
      </x:c>
    </x:row>
    <x:row r="1065" hidden="1">
      <x:c r="A1065" s="24" t="s">
        <x:v>309</x:v>
      </x:c>
      <x:c r="B1065" s="25">
        <x:v>46113</x:v>
      </x:c>
      <x:c r="C1065" s="45" t="str">
        <x:f t="shared" si="16"/>
        <x:v>ABRIL</x:v>
      </x:c>
      <x:c r="D1065" s="24" t="s">
        <x:v>227</x:v>
      </x:c>
      <x:c r="E1065" s="24" t="s">
        <x:v>24</x:v>
      </x:c>
      <x:c r="F1065" s="24" t="s">
        <x:v>66</x:v>
      </x:c>
      <x:c r="G1065" s="44">
        <x:v>-2090</x:v>
      </x:c>
      <x:c r="H1065" s="24" t="s">
        <x:v>82</x:v>
      </x:c>
      <x:c r="I1065" s="24" t="s">
        <x:v>311</x:v>
      </x:c>
      <x:c r="J1065" s="24" t="s">
        <x:v>650</x:v>
      </x:c>
      <x:c r="K1065" s="22" t="s">
        <x:v>11</x:v>
      </x:c>
    </x:row>
    <x:row r="1066" hidden="1">
      <x:c r="A1066" s="24" t="s">
        <x:v>663</x:v>
      </x:c>
      <x:c r="B1066" s="25">
        <x:v>46113</x:v>
      </x:c>
      <x:c r="C1066" s="45" t="str">
        <x:f t="shared" si="16"/>
        <x:v>ABRIL</x:v>
      </x:c>
      <x:c r="D1066" s="24" t="s">
        <x:v>89</x:v>
      </x:c>
      <x:c r="E1066" s="24" t="s">
        <x:v>526</x:v>
      </x:c>
      <x:c r="F1066" s="24" t="s">
        <x:v>59</x:v>
      </x:c>
      <x:c r="G1066" s="44">
        <x:v>12208</x:v>
      </x:c>
      <x:c r="H1066" s="24" t="s">
        <x:v>91</x:v>
      </x:c>
      <x:c r="I1066" s="24" t="s">
        <x:v>311</x:v>
      </x:c>
      <x:c r="J1066" s="24" t="s">
        <x:v>650</x:v>
      </x:c>
      <x:c r="K1066" s="22" t="s">
        <x:v>11</x:v>
      </x:c>
    </x:row>
    <x:row r="1067" hidden="1">
      <x:c r="A1067" s="24" t="s">
        <x:v>664</x:v>
      </x:c>
      <x:c r="B1067" s="25">
        <x:v>46113</x:v>
      </x:c>
      <x:c r="C1067" s="45" t="str">
        <x:f t="shared" si="16"/>
        <x:v>ABRIL</x:v>
      </x:c>
      <x:c r="D1067" s="24" t="s">
        <x:v>89</x:v>
      </x:c>
      <x:c r="E1067" s="24" t="s">
        <x:v>630</x:v>
      </x:c>
      <x:c r="F1067" s="24" t="s">
        <x:v>66</x:v>
      </x:c>
      <x:c r="G1067" s="44">
        <x:v>10115.200000000001</x:v>
      </x:c>
      <x:c r="H1067" s="24" t="s">
        <x:v>91</x:v>
      </x:c>
      <x:c r="I1067" s="24" t="s">
        <x:v>311</x:v>
      </x:c>
      <x:c r="J1067" s="24" t="s">
        <x:v>650</x:v>
      </x:c>
      <x:c r="K1067" s="22" t="s">
        <x:v>11</x:v>
      </x:c>
    </x:row>
    <x:row r="1068" hidden="1">
      <x:c r="A1068" s="24" t="s">
        <x:v>357</x:v>
      </x:c>
      <x:c r="B1068" s="25">
        <x:v>46113</x:v>
      </x:c>
      <x:c r="C1068" s="45" t="str">
        <x:f t="shared" si="16"/>
        <x:v>ABRIL</x:v>
      </x:c>
      <x:c r="D1068" s="24" t="s">
        <x:v>227</x:v>
      </x:c>
      <x:c r="E1068" s="24" t="s">
        <x:v>186</x:v>
      </x:c>
      <x:c r="F1068" s="24" t="s">
        <x:v>65</x:v>
      </x:c>
      <x:c r="G1068" s="44">
        <x:v>-475</x:v>
      </x:c>
      <x:c r="H1068" s="24" t="s">
        <x:v>82</x:v>
      </x:c>
      <x:c r="I1068" s="24" t="s">
        <x:v>311</x:v>
      </x:c>
      <x:c r="J1068" s="24" t="s">
        <x:v>665</x:v>
      </x:c>
      <x:c r="K1068" s="22" t="s">
        <x:v>11</x:v>
      </x:c>
    </x:row>
    <x:row r="1069" hidden="1">
      <x:c r="A1069" s="24" t="s">
        <x:v>442</x:v>
      </x:c>
      <x:c r="B1069" s="25">
        <x:v>46113</x:v>
      </x:c>
      <x:c r="C1069" s="45" t="str">
        <x:f t="shared" si="16"/>
        <x:v>ABRIL</x:v>
      </x:c>
      <x:c r="D1069" s="24" t="s">
        <x:v>227</x:v>
      </x:c>
      <x:c r="E1069" s="24" t="s">
        <x:v>651</x:v>
      </x:c>
      <x:c r="F1069" s="24" t="s">
        <x:v>62</x:v>
      </x:c>
      <x:c r="G1069" s="44">
        <x:v>-883.5</x:v>
      </x:c>
      <x:c r="H1069" s="24" t="s">
        <x:v>82</x:v>
      </x:c>
      <x:c r="I1069" s="24" t="s">
        <x:v>311</x:v>
      </x:c>
      <x:c r="J1069" s="24" t="s">
        <x:v>665</x:v>
      </x:c>
      <x:c r="K1069" s="22" t="s">
        <x:v>11</x:v>
      </x:c>
    </x:row>
    <x:row r="1070" hidden="1">
      <x:c r="A1070" s="24" t="s">
        <x:v>309</x:v>
      </x:c>
      <x:c r="B1070" s="25">
        <x:v>46113</x:v>
      </x:c>
      <x:c r="C1070" s="45" t="str">
        <x:f t="shared" si="16"/>
        <x:v>ABRIL</x:v>
      </x:c>
      <x:c r="D1070" s="24" t="s">
        <x:v>227</x:v>
      </x:c>
      <x:c r="E1070" s="24" t="s">
        <x:v>327</x:v>
      </x:c>
      <x:c r="F1070" s="24" t="s">
        <x:v>59</x:v>
      </x:c>
      <x:c r="G1070" s="44">
        <x:v>-8634.0400000000009</x:v>
      </x:c>
      <x:c r="H1070" s="24" t="s">
        <x:v>82</x:v>
      </x:c>
      <x:c r="I1070" s="24" t="s">
        <x:v>311</x:v>
      </x:c>
      <x:c r="J1070" s="24" t="s">
        <x:v>665</x:v>
      </x:c>
      <x:c r="K1070" s="22" t="s">
        <x:v>11</x:v>
      </x:c>
    </x:row>
    <x:row r="1071" hidden="1">
      <x:c r="A1071" s="24" t="s">
        <x:v>309</x:v>
      </x:c>
      <x:c r="B1071" s="25">
        <x:v>46113</x:v>
      </x:c>
      <x:c r="C1071" s="45" t="str">
        <x:f t="shared" si="16"/>
        <x:v>ABRIL</x:v>
      </x:c>
      <x:c r="D1071" s="24" t="s">
        <x:v>227</x:v>
      </x:c>
      <x:c r="E1071" s="24" t="s">
        <x:v>327</x:v>
      </x:c>
      <x:c r="F1071" s="24" t="s">
        <x:v>44</x:v>
      </x:c>
      <x:c r="G1071" s="44">
        <x:v>-2719.6</x:v>
      </x:c>
      <x:c r="H1071" s="24" t="s">
        <x:v>82</x:v>
      </x:c>
      <x:c r="I1071" s="24" t="s">
        <x:v>311</x:v>
      </x:c>
      <x:c r="J1071" s="24" t="s">
        <x:v>665</x:v>
      </x:c>
      <x:c r="K1071" s="22" t="s">
        <x:v>11</x:v>
      </x:c>
    </x:row>
    <x:row r="1072" hidden="1">
      <x:c r="A1072" s="24" t="s">
        <x:v>309</x:v>
      </x:c>
      <x:c r="B1072" s="25">
        <x:v>46113</x:v>
      </x:c>
      <x:c r="C1072" s="45" t="str">
        <x:f t="shared" si="16"/>
        <x:v>ABRIL</x:v>
      </x:c>
      <x:c r="D1072" s="24" t="s">
        <x:v>227</x:v>
      </x:c>
      <x:c r="E1072" s="24" t="s">
        <x:v>327</x:v>
      </x:c>
      <x:c r="F1072" s="24" t="s">
        <x:v>66</x:v>
      </x:c>
      <x:c r="G1072" s="44">
        <x:v>-2647.49</x:v>
      </x:c>
      <x:c r="H1072" s="24" t="s">
        <x:v>82</x:v>
      </x:c>
      <x:c r="I1072" s="24" t="s">
        <x:v>311</x:v>
      </x:c>
      <x:c r="J1072" s="24" t="s">
        <x:v>665</x:v>
      </x:c>
      <x:c r="K1072" s="22" t="s">
        <x:v>11</x:v>
      </x:c>
    </x:row>
    <x:row r="1073" hidden="1">
      <x:c r="A1073" s="24" t="s">
        <x:v>309</x:v>
      </x:c>
      <x:c r="B1073" s="25">
        <x:v>46113</x:v>
      </x:c>
      <x:c r="C1073" s="45" t="str">
        <x:f t="shared" si="16"/>
        <x:v>ABRIL</x:v>
      </x:c>
      <x:c r="D1073" s="24" t="s">
        <x:v>227</x:v>
      </x:c>
      <x:c r="E1073" s="24" t="s">
        <x:v>666</x:v>
      </x:c>
      <x:c r="F1073" s="24" t="s">
        <x:v>59</x:v>
      </x:c>
      <x:c r="G1073" s="44">
        <x:v>-11612.48</x:v>
      </x:c>
      <x:c r="H1073" s="24" t="s">
        <x:v>82</x:v>
      </x:c>
      <x:c r="I1073" s="24" t="s">
        <x:v>311</x:v>
      </x:c>
      <x:c r="J1073" s="24" t="s">
        <x:v>665</x:v>
      </x:c>
      <x:c r="K1073" s="22" t="s">
        <x:v>11</x:v>
      </x:c>
    </x:row>
    <x:row r="1074" hidden="1">
      <x:c r="A1074" s="24" t="s">
        <x:v>309</x:v>
      </x:c>
      <x:c r="B1074" s="25">
        <x:v>46113</x:v>
      </x:c>
      <x:c r="C1074" s="45" t="str">
        <x:f t="shared" si="16"/>
        <x:v>ABRIL</x:v>
      </x:c>
      <x:c r="D1074" s="24" t="s">
        <x:v>227</x:v>
      </x:c>
      <x:c r="E1074" s="24" t="s">
        <x:v>666</x:v>
      </x:c>
      <x:c r="F1074" s="24" t="s">
        <x:v>44</x:v>
      </x:c>
      <x:c r="G1074" s="44">
        <x:v>-3681.43</x:v>
      </x:c>
      <x:c r="H1074" s="24" t="s">
        <x:v>91</x:v>
      </x:c>
      <x:c r="I1074" s="24" t="s">
        <x:v>311</x:v>
      </x:c>
      <x:c r="J1074" s="24" t="s">
        <x:v>665</x:v>
      </x:c>
      <x:c r="K1074" s="22" t="s">
        <x:v>11</x:v>
      </x:c>
    </x:row>
    <x:row r="1075" hidden="1">
      <x:c r="A1075" s="24" t="s">
        <x:v>309</x:v>
      </x:c>
      <x:c r="B1075" s="25">
        <x:v>46113</x:v>
      </x:c>
      <x:c r="C1075" s="45" t="str">
        <x:f t="shared" si="16"/>
        <x:v>ABRIL</x:v>
      </x:c>
      <x:c r="D1075" s="24" t="s">
        <x:v>227</x:v>
      </x:c>
      <x:c r="E1075" s="24" t="s">
        <x:v>666</x:v>
      </x:c>
      <x:c r="F1075" s="24" t="s">
        <x:v>65</x:v>
      </x:c>
      <x:c r="G1075" s="44">
        <x:v>-13410.36</x:v>
      </x:c>
      <x:c r="H1075" s="24" t="s">
        <x:v>82</x:v>
      </x:c>
      <x:c r="I1075" s="24" t="s">
        <x:v>311</x:v>
      </x:c>
      <x:c r="J1075" s="24" t="s">
        <x:v>665</x:v>
      </x:c>
      <x:c r="K1075" s="22" t="s">
        <x:v>11</x:v>
      </x:c>
    </x:row>
    <x:row r="1076" hidden="1">
      <x:c r="A1076" s="24" t="s">
        <x:v>309</x:v>
      </x:c>
      <x:c r="B1076" s="25">
        <x:v>46113</x:v>
      </x:c>
      <x:c r="C1076" s="45" t="str">
        <x:f t="shared" si="16"/>
        <x:v>ABRIL</x:v>
      </x:c>
      <x:c r="D1076" s="24" t="s">
        <x:v>227</x:v>
      </x:c>
      <x:c r="E1076" s="24" t="s">
        <x:v>666</x:v>
      </x:c>
      <x:c r="F1076" s="24" t="s">
        <x:v>66</x:v>
      </x:c>
      <x:c r="G1076" s="44">
        <x:v>-5873.19</x:v>
      </x:c>
      <x:c r="H1076" s="24" t="s">
        <x:v>82</x:v>
      </x:c>
      <x:c r="I1076" s="24" t="s">
        <x:v>311</x:v>
      </x:c>
      <x:c r="J1076" s="24" t="s">
        <x:v>665</x:v>
      </x:c>
      <x:c r="K1076" s="22" t="s">
        <x:v>11</x:v>
      </x:c>
    </x:row>
    <x:row r="1077" hidden="1">
      <x:c r="A1077" s="24" t="s">
        <x:v>309</x:v>
      </x:c>
      <x:c r="B1077" s="25">
        <x:v>46113</x:v>
      </x:c>
      <x:c r="C1077" s="45" t="str">
        <x:f t="shared" si="16"/>
        <x:v>ABRIL</x:v>
      </x:c>
      <x:c r="D1077" s="24" t="s">
        <x:v>227</x:v>
      </x:c>
      <x:c r="E1077" s="24" t="s">
        <x:v>667</x:v>
      </x:c>
      <x:c r="F1077" s="24" t="s">
        <x:v>314</x:v>
      </x:c>
      <x:c r="G1077" s="44">
        <x:v>-349.5</x:v>
      </x:c>
      <x:c r="H1077" s="24" t="s">
        <x:v>82</x:v>
      </x:c>
      <x:c r="I1077" s="24" t="s">
        <x:v>311</x:v>
      </x:c>
      <x:c r="J1077" s="24" t="s">
        <x:v>665</x:v>
      </x:c>
      <x:c r="K1077" s="22" t="s">
        <x:v>11</x:v>
      </x:c>
    </x:row>
    <x:row r="1078" hidden="1">
      <x:c r="A1078" s="24" t="s">
        <x:v>309</x:v>
      </x:c>
      <x:c r="B1078" s="25">
        <x:v>46113</x:v>
      </x:c>
      <x:c r="C1078" s="45" t="str">
        <x:f t="shared" si="16"/>
        <x:v>ABRIL</x:v>
      </x:c>
      <x:c r="D1078" s="24" t="s">
        <x:v>227</x:v>
      </x:c>
      <x:c r="E1078" s="24" t="s">
        <x:v>667</x:v>
      </x:c>
      <x:c r="F1078" s="24" t="s">
        <x:v>44</x:v>
      </x:c>
      <x:c r="G1078" s="44">
        <x:v>-9191.89</x:v>
      </x:c>
      <x:c r="H1078" s="24" t="s">
        <x:v>82</x:v>
      </x:c>
      <x:c r="I1078" s="24" t="s">
        <x:v>311</x:v>
      </x:c>
      <x:c r="J1078" s="24" t="s">
        <x:v>665</x:v>
      </x:c>
      <x:c r="K1078" s="22" t="s">
        <x:v>11</x:v>
      </x:c>
    </x:row>
    <x:row r="1079" hidden="1">
      <x:c r="A1079" s="24" t="s">
        <x:v>309</x:v>
      </x:c>
      <x:c r="B1079" s="25">
        <x:v>46113</x:v>
      </x:c>
      <x:c r="C1079" s="45" t="str">
        <x:f t="shared" si="16"/>
        <x:v>ABRIL</x:v>
      </x:c>
      <x:c r="D1079" s="24" t="s">
        <x:v>227</x:v>
      </x:c>
      <x:c r="E1079" s="24" t="s">
        <x:v>667</x:v>
      </x:c>
      <x:c r="F1079" s="24" t="s">
        <x:v>65</x:v>
      </x:c>
      <x:c r="G1079" s="44">
        <x:v>-780.08</x:v>
      </x:c>
      <x:c r="H1079" s="24" t="s">
        <x:v>82</x:v>
      </x:c>
      <x:c r="I1079" s="24" t="s">
        <x:v>311</x:v>
      </x:c>
      <x:c r="J1079" s="24" t="s">
        <x:v>665</x:v>
      </x:c>
      <x:c r="K1079" s="22" t="s">
        <x:v>11</x:v>
      </x:c>
    </x:row>
    <x:row r="1080" hidden="1">
      <x:c r="A1080" s="24" t="s">
        <x:v>309</x:v>
      </x:c>
      <x:c r="B1080" s="25">
        <x:v>46113</x:v>
      </x:c>
      <x:c r="C1080" s="45" t="str">
        <x:f t="shared" si="16"/>
        <x:v>ABRIL</x:v>
      </x:c>
      <x:c r="D1080" s="24" t="s">
        <x:v>227</x:v>
      </x:c>
      <x:c r="E1080" s="24" t="s">
        <x:v>667</x:v>
      </x:c>
      <x:c r="F1080" s="24" t="s">
        <x:v>66</x:v>
      </x:c>
      <x:c r="G1080" s="44">
        <x:v>-2676.48</x:v>
      </x:c>
      <x:c r="H1080" s="24" t="s">
        <x:v>82</x:v>
      </x:c>
      <x:c r="I1080" s="24" t="s">
        <x:v>311</x:v>
      </x:c>
      <x:c r="J1080" s="24" t="s">
        <x:v>665</x:v>
      </x:c>
      <x:c r="K1080" s="22" t="s">
        <x:v>11</x:v>
      </x:c>
    </x:row>
    <x:row r="1081" hidden="1">
      <x:c r="A1081" s="24" t="s">
        <x:v>439</x:v>
      </x:c>
      <x:c r="B1081" s="25">
        <x:v>46113</x:v>
      </x:c>
      <x:c r="C1081" s="45" t="str">
        <x:f t="shared" si="16"/>
        <x:v>ABRIL</x:v>
      </x:c>
      <x:c r="D1081" s="24" t="s">
        <x:v>227</x:v>
      </x:c>
      <x:c r="E1081" s="24" t="s">
        <x:v>170</x:v>
      </x:c>
      <x:c r="F1081" s="24" t="s">
        <x:v>65</x:v>
      </x:c>
      <x:c r="G1081" s="44">
        <x:v>-1070</x:v>
      </x:c>
      <x:c r="H1081" s="24" t="s">
        <x:v>82</x:v>
      </x:c>
      <x:c r="I1081" s="24" t="s">
        <x:v>311</x:v>
      </x:c>
      <x:c r="J1081" s="24" t="s">
        <x:v>668</x:v>
      </x:c>
      <x:c r="K1081" s="22" t="s">
        <x:v>11</x:v>
      </x:c>
    </x:row>
    <x:row r="1082" hidden="1">
      <x:c r="A1082" s="24" t="s">
        <x:v>669</x:v>
      </x:c>
      <x:c r="B1082" s="25">
        <x:v>46113</x:v>
      </x:c>
      <x:c r="C1082" s="45" t="str">
        <x:f t="shared" si="16"/>
        <x:v>ABRIL</x:v>
      </x:c>
      <x:c r="D1082" s="24" t="s">
        <x:v>89</x:v>
      </x:c>
      <x:c r="E1082" s="24" t="s">
        <x:v>670</x:v>
      </x:c>
      <x:c r="F1082" s="24" t="s">
        <x:v>44</x:v>
      </x:c>
      <x:c r="G1082" s="44">
        <x:v>13592.3</x:v>
      </x:c>
      <x:c r="H1082" s="24" t="s">
        <x:v>91</x:v>
      </x:c>
      <x:c r="I1082" s="24" t="s">
        <x:v>311</x:v>
      </x:c>
      <x:c r="J1082" s="24" t="s">
        <x:v>671</x:v>
      </x:c>
      <x:c r="K1082" s="22" t="s">
        <x:v>11</x:v>
      </x:c>
    </x:row>
    <x:row r="1083" hidden="1">
      <x:c r="A1083" s="24" t="s">
        <x:v>112</x:v>
      </x:c>
      <x:c r="B1083" s="25">
        <x:v>46113</x:v>
      </x:c>
      <x:c r="C1083" s="45" t="str">
        <x:f t="shared" si="16"/>
        <x:v>ABRIL</x:v>
      </x:c>
      <x:c r="D1083" s="24" t="s">
        <x:v>112</x:v>
      </x:c>
      <x:c r="E1083" s="24" t="s">
        <x:v>333</x:v>
      </x:c>
      <x:c r="F1083" s="24" t="s">
        <x:v>314</x:v>
      </x:c>
      <x:c r="G1083" s="44">
        <x:v>-28000</x:v>
      </x:c>
      <x:c r="H1083" s="24" t="s">
        <x:v>82</x:v>
      </x:c>
      <x:c r="I1083" s="24" t="s">
        <x:v>311</x:v>
      </x:c>
      <x:c r="J1083" s="24" t="s">
        <x:v>671</x:v>
      </x:c>
      <x:c r="K1083" s="22" t="s">
        <x:v>11</x:v>
      </x:c>
    </x:row>
    <x:row r="1084" hidden="1">
      <x:c r="A1084" s="24" t="s">
        <x:v>115</x:v>
      </x:c>
      <x:c r="B1084" s="25">
        <x:v>46113</x:v>
      </x:c>
      <x:c r="C1084" s="45" t="str">
        <x:f t="shared" si="16"/>
        <x:v>ABRIL</x:v>
      </x:c>
      <x:c r="D1084" s="24" t="s">
        <x:v>116</x:v>
      </x:c>
      <x:c r="E1084" s="24" t="s">
        <x:v>349</x:v>
      </x:c>
      <x:c r="F1084" s="24" t="s">
        <x:v>65</x:v>
      </x:c>
      <x:c r="G1084" s="44">
        <x:v>-2135.5500000000002</x:v>
      </x:c>
      <x:c r="H1084" s="24" t="s">
        <x:v>82</x:v>
      </x:c>
      <x:c r="I1084" s="24" t="s">
        <x:v>311</x:v>
      </x:c>
      <x:c r="J1084" s="24" t="s">
        <x:v>671</x:v>
      </x:c>
      <x:c r="K1084" s="22" t="s">
        <x:v>11</x:v>
      </x:c>
    </x:row>
    <x:row r="1085" hidden="1">
      <x:c r="A1085" s="24" t="s">
        <x:v>115</x:v>
      </x:c>
      <x:c r="B1085" s="25">
        <x:v>46113</x:v>
      </x:c>
      <x:c r="C1085" s="45" t="str">
        <x:f t="shared" si="16"/>
        <x:v>ABRIL</x:v>
      </x:c>
      <x:c r="D1085" s="24" t="s">
        <x:v>116</x:v>
      </x:c>
      <x:c r="E1085" s="24" t="s">
        <x:v>349</x:v>
      </x:c>
      <x:c r="F1085" s="24" t="s">
        <x:v>59</x:v>
      </x:c>
      <x:c r="G1085" s="44">
        <x:v>-10291.52</x:v>
      </x:c>
      <x:c r="H1085" s="24" t="s">
        <x:v>82</x:v>
      </x:c>
      <x:c r="I1085" s="24" t="s">
        <x:v>311</x:v>
      </x:c>
      <x:c r="J1085" s="24" t="s">
        <x:v>671</x:v>
      </x:c>
      <x:c r="K1085" s="22" t="s">
        <x:v>11</x:v>
      </x:c>
    </x:row>
    <x:row r="1086" hidden="1">
      <x:c r="A1086" s="24" t="s">
        <x:v>115</x:v>
      </x:c>
      <x:c r="B1086" s="25">
        <x:v>46113</x:v>
      </x:c>
      <x:c r="C1086" s="45" t="str">
        <x:f t="shared" si="16"/>
        <x:v>ABRIL</x:v>
      </x:c>
      <x:c r="D1086" s="24" t="s">
        <x:v>116</x:v>
      </x:c>
      <x:c r="E1086" s="24" t="s">
        <x:v>349</x:v>
      </x:c>
      <x:c r="F1086" s="24" t="s">
        <x:v>44</x:v>
      </x:c>
      <x:c r="G1086" s="44">
        <x:v>-6401.75</x:v>
      </x:c>
      <x:c r="H1086" s="24" t="s">
        <x:v>82</x:v>
      </x:c>
      <x:c r="I1086" s="24" t="s">
        <x:v>311</x:v>
      </x:c>
      <x:c r="J1086" s="24" t="s">
        <x:v>671</x:v>
      </x:c>
      <x:c r="K1086" s="22" t="s">
        <x:v>11</x:v>
      </x:c>
    </x:row>
    <x:row r="1087" hidden="1">
      <x:c r="A1087" s="24" t="s">
        <x:v>115</x:v>
      </x:c>
      <x:c r="B1087" s="25">
        <x:v>46113</x:v>
      </x:c>
      <x:c r="C1087" s="45" t="str">
        <x:f t="shared" si="16"/>
        <x:v>ABRIL</x:v>
      </x:c>
      <x:c r="D1087" s="24" t="s">
        <x:v>116</x:v>
      </x:c>
      <x:c r="E1087" s="24" t="s">
        <x:v>349</x:v>
      </x:c>
      <x:c r="F1087" s="24" t="s">
        <x:v>66</x:v>
      </x:c>
      <x:c r="G1087" s="44">
        <x:v>-2206.5</x:v>
      </x:c>
      <x:c r="H1087" s="24" t="s">
        <x:v>82</x:v>
      </x:c>
      <x:c r="I1087" s="24" t="s">
        <x:v>311</x:v>
      </x:c>
      <x:c r="J1087" s="24" t="s">
        <x:v>671</x:v>
      </x:c>
      <x:c r="K1087" s="22" t="s">
        <x:v>11</x:v>
      </x:c>
    </x:row>
    <x:row r="1088" hidden="1">
      <x:c r="A1088" s="24" t="s">
        <x:v>365</x:v>
      </x:c>
      <x:c r="B1088" s="25">
        <x:v>46113</x:v>
      </x:c>
      <x:c r="C1088" s="45" t="str">
        <x:f t="shared" si="16"/>
        <x:v>ABRIL</x:v>
      </x:c>
      <x:c r="D1088" s="30" t="s">
        <x:v>173</x:v>
      </x:c>
      <x:c r="E1088" s="24" t="s">
        <x:v>133</x:v>
      </x:c>
      <x:c r="F1088" s="24" t="s">
        <x:v>44</x:v>
      </x:c>
      <x:c r="G1088" s="44">
        <x:v>-345.99</x:v>
      </x:c>
      <x:c r="H1088" s="24" t="s">
        <x:v>82</x:v>
      </x:c>
      <x:c r="I1088" s="24" t="s">
        <x:v>311</x:v>
      </x:c>
      <x:c r="J1088" s="24" t="s">
        <x:v>671</x:v>
      </x:c>
      <x:c r="K1088" s="22" t="s">
        <x:v>11</x:v>
      </x:c>
    </x:row>
    <x:row r="1089" hidden="1">
      <x:c r="A1089" s="24" t="s">
        <x:v>672</x:v>
      </x:c>
      <x:c r="B1089" s="25">
        <x:v>46113</x:v>
      </x:c>
      <x:c r="C1089" s="45" t="str">
        <x:f t="shared" si="16"/>
        <x:v>ABRIL</x:v>
      </x:c>
      <x:c r="D1089" s="24" t="s">
        <x:v>89</x:v>
      </x:c>
      <x:c r="E1089" s="24" t="s">
        <x:v>359</x:v>
      </x:c>
      <x:c r="F1089" s="24" t="s">
        <x:v>65</x:v>
      </x:c>
      <x:c r="G1089" s="44">
        <x:v>9657.4</x:v>
      </x:c>
      <x:c r="H1089" s="24" t="s">
        <x:v>91</x:v>
      </x:c>
      <x:c r="I1089" s="24" t="s">
        <x:v>311</x:v>
      </x:c>
      <x:c r="J1089" s="24" t="s">
        <x:v>671</x:v>
      </x:c>
      <x:c r="K1089" s="22" t="s">
        <x:v>11</x:v>
      </x:c>
    </x:row>
    <x:row r="1090" hidden="1">
      <x:c r="A1090" s="24" t="s">
        <x:v>332</x:v>
      </x:c>
      <x:c r="B1090" s="25">
        <x:v>46113</x:v>
      </x:c>
      <x:c r="C1090" s="45" t="str">
        <x:f t="shared" ref="C1090:C1153" si="17">UPPER(TEXT(B1090,"MMMM"))</x:f>
        <x:v>APRIL</x:v>
      </x:c>
      <x:c r="D1090" s="24" t="s">
        <x:v>165</x:v>
      </x:c>
      <x:c r="E1090" s="24" t="s">
        <x:v>10</x:v>
      </x:c>
      <x:c r="F1090" s="24" t="s">
        <x:v>44</x:v>
      </x:c>
      <x:c r="G1090" s="44">
        <x:v>-4052.95</x:v>
      </x:c>
      <x:c r="H1090" s="24" t="s">
        <x:v>82</x:v>
      </x:c>
      <x:c r="I1090" s="24" t="s">
        <x:v>311</x:v>
      </x:c>
      <x:c r="J1090" s="23">
        <x:v>46117</x:v>
      </x:c>
      <x:c r="K1090" s="22" t="s">
        <x:v>11</x:v>
      </x:c>
    </x:row>
    <x:row r="1091" hidden="1">
      <x:c r="A1091" s="24" t="s">
        <x:v>332</x:v>
      </x:c>
      <x:c r="B1091" s="25">
        <x:v>46113</x:v>
      </x:c>
      <x:c r="C1091" s="45" t="str">
        <x:f t="shared" si="17"/>
        <x:v>ABRIL</x:v>
      </x:c>
      <x:c r="D1091" s="24" t="s">
        <x:v>165</x:v>
      </x:c>
      <x:c r="E1091" s="24" t="s">
        <x:v>13</x:v>
      </x:c>
      <x:c r="F1091" s="24" t="s">
        <x:v>59</x:v>
      </x:c>
      <x:c r="G1091" s="44">
        <x:v>-4052.95</x:v>
      </x:c>
      <x:c r="H1091" s="24" t="s">
        <x:v>82</x:v>
      </x:c>
      <x:c r="I1091" s="24" t="s">
        <x:v>311</x:v>
      </x:c>
      <x:c r="J1091" s="23">
        <x:v>46117</x:v>
      </x:c>
      <x:c r="K1091" s="22" t="s">
        <x:v>11</x:v>
      </x:c>
    </x:row>
    <x:row r="1092" hidden="1">
      <x:c r="A1092" s="24" t="s">
        <x:v>332</x:v>
      </x:c>
      <x:c r="B1092" s="25">
        <x:v>46113</x:v>
      </x:c>
      <x:c r="C1092" s="45" t="str">
        <x:f t="shared" si="17"/>
        <x:v>ABRIL</x:v>
      </x:c>
      <x:c r="D1092" s="24" t="s">
        <x:v>165</x:v>
      </x:c>
      <x:c r="E1092" s="24" t="s">
        <x:v>649</x:v>
      </x:c>
      <x:c r="F1092" s="24" t="s">
        <x:v>62</x:v>
      </x:c>
      <x:c r="G1092" s="44">
        <x:v>-1244.1199999999999</x:v>
      </x:c>
      <x:c r="H1092" s="24" t="s">
        <x:v>82</x:v>
      </x:c>
      <x:c r="I1092" s="24" t="s">
        <x:v>311</x:v>
      </x:c>
      <x:c r="J1092" s="23">
        <x:v>46117</x:v>
      </x:c>
      <x:c r="K1092" s="22" t="s">
        <x:v>11</x:v>
      </x:c>
    </x:row>
    <x:row r="1093" hidden="1">
      <x:c r="A1093" s="24" t="s">
        <x:v>332</x:v>
      </x:c>
      <x:c r="B1093" s="25">
        <x:v>46113</x:v>
      </x:c>
      <x:c r="C1093" s="45" t="str">
        <x:f t="shared" si="17"/>
        <x:v>ABRIL</x:v>
      </x:c>
      <x:c r="D1093" s="24" t="s">
        <x:v>165</x:v>
      </x:c>
      <x:c r="E1093" s="24" t="s">
        <x:v>24</x:v>
      </x:c>
      <x:c r="F1093" s="24" t="s">
        <x:v>66</x:v>
      </x:c>
      <x:c r="G1093" s="44">
        <x:v>-4052.95</x:v>
      </x:c>
      <x:c r="H1093" s="24" t="s">
        <x:v>82</x:v>
      </x:c>
      <x:c r="I1093" s="24" t="s">
        <x:v>311</x:v>
      </x:c>
      <x:c r="J1093" s="23">
        <x:v>46117</x:v>
      </x:c>
      <x:c r="K1093" s="22" t="s">
        <x:v>11</x:v>
      </x:c>
    </x:row>
    <x:row r="1094" hidden="1">
      <x:c r="A1094" s="24" t="s">
        <x:v>332</x:v>
      </x:c>
      <x:c r="B1094" s="25">
        <x:v>46113</x:v>
      </x:c>
      <x:c r="C1094" s="45" t="str">
        <x:f t="shared" si="17"/>
        <x:v>ABRIL</x:v>
      </x:c>
      <x:c r="D1094" s="24" t="s">
        <x:v>165</x:v>
      </x:c>
      <x:c r="E1094" s="24" t="s">
        <x:v>23</x:v>
      </x:c>
      <x:c r="F1094" s="24" t="s">
        <x:v>65</x:v>
      </x:c>
      <x:c r="G1094" s="44">
        <x:v>-4052.95</x:v>
      </x:c>
      <x:c r="H1094" s="24" t="s">
        <x:v>82</x:v>
      </x:c>
      <x:c r="I1094" s="24" t="s">
        <x:v>311</x:v>
      </x:c>
      <x:c r="J1094" s="23">
        <x:v>46117</x:v>
      </x:c>
      <x:c r="K1094" s="22" t="s">
        <x:v>11</x:v>
      </x:c>
    </x:row>
    <x:row r="1095" hidden="1">
      <x:c r="A1095" s="24" t="s">
        <x:v>397</x:v>
      </x:c>
      <x:c r="B1095" s="25">
        <x:v>46113</x:v>
      </x:c>
      <x:c r="C1095" s="45" t="str">
        <x:f t="shared" si="17"/>
        <x:v>ABRIL</x:v>
      </x:c>
      <x:c r="D1095" s="24" t="s">
        <x:v>183</x:v>
      </x:c>
      <x:c r="E1095" s="24" t="s">
        <x:v>183</x:v>
      </x:c>
      <x:c r="F1095" s="24" t="s">
        <x:v>673</x:v>
      </x:c>
      <x:c r="G1095" s="44">
        <x:v>-2500</x:v>
      </x:c>
      <x:c r="H1095" s="24" t="s">
        <x:v>82</x:v>
      </x:c>
      <x:c r="I1095" s="24" t="s">
        <x:v>311</x:v>
      </x:c>
      <x:c r="J1095" s="23">
        <x:v>46118</x:v>
      </x:c>
      <x:c r="K1095" s="22" t="s">
        <x:v>11</x:v>
      </x:c>
    </x:row>
    <x:row r="1096" hidden="1">
      <x:c r="A1096" s="24" t="s">
        <x:v>397</x:v>
      </x:c>
      <x:c r="B1096" s="25">
        <x:v>46113</x:v>
      </x:c>
      <x:c r="C1096" s="45" t="str">
        <x:f t="shared" si="17"/>
        <x:v>ABRIL</x:v>
      </x:c>
      <x:c r="D1096" s="24" t="s">
        <x:v>183</x:v>
      </x:c>
      <x:c r="E1096" s="24" t="s">
        <x:v>183</x:v>
      </x:c>
      <x:c r="F1096" s="24" t="s">
        <x:v>44</x:v>
      </x:c>
      <x:c r="G1096" s="44">
        <x:v>-2500</x:v>
      </x:c>
      <x:c r="H1096" s="24" t="s">
        <x:v>82</x:v>
      </x:c>
      <x:c r="I1096" s="24" t="s">
        <x:v>311</x:v>
      </x:c>
      <x:c r="J1096" s="23">
        <x:v>46118</x:v>
      </x:c>
      <x:c r="K1096" s="22" t="s">
        <x:v>11</x:v>
      </x:c>
    </x:row>
    <x:row r="1097" hidden="1">
      <x:c r="A1097" s="24" t="s">
        <x:v>397</x:v>
      </x:c>
      <x:c r="B1097" s="25">
        <x:v>46113</x:v>
      </x:c>
      <x:c r="C1097" s="45" t="str">
        <x:f t="shared" si="17"/>
        <x:v>ABRIL</x:v>
      </x:c>
      <x:c r="D1097" s="24" t="s">
        <x:v>183</x:v>
      </x:c>
      <x:c r="E1097" s="24" t="s">
        <x:v>183</x:v>
      </x:c>
      <x:c r="F1097" s="24" t="s">
        <x:v>59</x:v>
      </x:c>
      <x:c r="G1097" s="44">
        <x:v>-2500</x:v>
      </x:c>
      <x:c r="H1097" s="24" t="s">
        <x:v>82</x:v>
      </x:c>
      <x:c r="I1097" s="24" t="s">
        <x:v>311</x:v>
      </x:c>
      <x:c r="J1097" s="23">
        <x:v>46118</x:v>
      </x:c>
      <x:c r="K1097" s="22" t="s">
        <x:v>11</x:v>
      </x:c>
    </x:row>
    <x:row r="1098" hidden="1">
      <x:c r="A1098" s="24" t="s">
        <x:v>397</x:v>
      </x:c>
      <x:c r="B1098" s="25">
        <x:v>46113</x:v>
      </x:c>
      <x:c r="C1098" s="45" t="str">
        <x:f t="shared" si="17"/>
        <x:v>ABRIL</x:v>
      </x:c>
      <x:c r="D1098" s="24" t="s">
        <x:v>183</x:v>
      </x:c>
      <x:c r="E1098" s="24" t="s">
        <x:v>183</x:v>
      </x:c>
      <x:c r="F1098" s="24" t="s">
        <x:v>314</x:v>
      </x:c>
      <x:c r="G1098" s="44">
        <x:v>-2500</x:v>
      </x:c>
      <x:c r="H1098" s="24" t="s">
        <x:v>82</x:v>
      </x:c>
      <x:c r="I1098" s="24" t="s">
        <x:v>311</x:v>
      </x:c>
      <x:c r="J1098" s="23">
        <x:v>46118</x:v>
      </x:c>
      <x:c r="K1098" s="22" t="s">
        <x:v>11</x:v>
      </x:c>
    </x:row>
    <x:row r="1099" hidden="1">
      <x:c r="A1099" s="24" t="s">
        <x:v>397</x:v>
      </x:c>
      <x:c r="B1099" s="25">
        <x:v>46113</x:v>
      </x:c>
      <x:c r="C1099" s="45" t="str">
        <x:f t="shared" si="17"/>
        <x:v>ABRIL</x:v>
      </x:c>
      <x:c r="D1099" s="24" t="s">
        <x:v>183</x:v>
      </x:c>
      <x:c r="E1099" s="24" t="s">
        <x:v>183</x:v>
      </x:c>
      <x:c r="F1099" s="24" t="s">
        <x:v>66</x:v>
      </x:c>
      <x:c r="G1099" s="44">
        <x:v>-2500</x:v>
      </x:c>
      <x:c r="H1099" s="24" t="s">
        <x:v>82</x:v>
      </x:c>
      <x:c r="I1099" s="24" t="s">
        <x:v>311</x:v>
      </x:c>
      <x:c r="J1099" s="23">
        <x:v>46118</x:v>
      </x:c>
      <x:c r="K1099" s="22" t="s">
        <x:v>11</x:v>
      </x:c>
    </x:row>
    <x:row r="1100" hidden="1">
      <x:c r="A1100" s="24" t="s">
        <x:v>397</x:v>
      </x:c>
      <x:c r="B1100" s="25">
        <x:v>46113</x:v>
      </x:c>
      <x:c r="C1100" s="45" t="str">
        <x:f t="shared" si="17"/>
        <x:v>ABRIL</x:v>
      </x:c>
      <x:c r="D1100" s="24" t="s">
        <x:v>183</x:v>
      </x:c>
      <x:c r="E1100" s="24" t="s">
        <x:v>183</x:v>
      </x:c>
      <x:c r="F1100" s="24" t="s">
        <x:v>62</x:v>
      </x:c>
      <x:c r="G1100" s="44">
        <x:v>-2500</x:v>
      </x:c>
      <x:c r="H1100" s="24" t="s">
        <x:v>82</x:v>
      </x:c>
      <x:c r="I1100" s="24" t="s">
        <x:v>311</x:v>
      </x:c>
      <x:c r="J1100" s="23">
        <x:v>46118</x:v>
      </x:c>
      <x:c r="K1100" s="22" t="s">
        <x:v>11</x:v>
      </x:c>
    </x:row>
    <x:row r="1101" hidden="1">
      <x:c r="A1101" s="24" t="s">
        <x:v>335</x:v>
      </x:c>
      <x:c r="B1101" s="25">
        <x:v>46113</x:v>
      </x:c>
      <x:c r="C1101" s="45" t="str">
        <x:f t="shared" si="17"/>
        <x:v>ABRIL</x:v>
      </x:c>
      <x:c r="D1101" s="24" t="s">
        <x:v>173</x:v>
      </x:c>
      <x:c r="E1101" s="24" t="s">
        <x:v>674</x:v>
      </x:c>
      <x:c r="F1101" s="24" t="s">
        <x:v>62</x:v>
      </x:c>
      <x:c r="G1101" s="44">
        <x:v>-233.09</x:v>
      </x:c>
      <x:c r="H1101" s="24" t="s">
        <x:v>82</x:v>
      </x:c>
      <x:c r="I1101" s="24" t="s">
        <x:v>311</x:v>
      </x:c>
      <x:c r="J1101" s="24" t="s">
        <x:v>675</x:v>
      </x:c>
      <x:c r="K1101" s="22" t="s">
        <x:v>11</x:v>
      </x:c>
    </x:row>
    <x:row r="1102" hidden="1">
      <x:c r="A1102" s="24" t="s">
        <x:v>335</x:v>
      </x:c>
      <x:c r="B1102" s="25">
        <x:v>46113</x:v>
      </x:c>
      <x:c r="C1102" s="45" t="str">
        <x:f t="shared" si="17"/>
        <x:v>ABRIL</x:v>
      </x:c>
      <x:c r="D1102" s="24" t="s">
        <x:v>173</x:v>
      </x:c>
      <x:c r="E1102" s="24" t="s">
        <x:v>674</x:v>
      </x:c>
      <x:c r="F1102" s="24" t="s">
        <x:v>62</x:v>
      </x:c>
      <x:c r="G1102" s="44">
        <x:v>-209.78</x:v>
      </x:c>
      <x:c r="H1102" s="24" t="s">
        <x:v>82</x:v>
      </x:c>
      <x:c r="I1102" s="24" t="s">
        <x:v>311</x:v>
      </x:c>
      <x:c r="J1102" s="24" t="s">
        <x:v>675</x:v>
      </x:c>
      <x:c r="K1102" s="22" t="s">
        <x:v>11</x:v>
      </x:c>
    </x:row>
    <x:row r="1103" hidden="1">
      <x:c r="A1103" s="24" t="s">
        <x:v>335</x:v>
      </x:c>
      <x:c r="B1103" s="25">
        <x:v>46113</x:v>
      </x:c>
      <x:c r="C1103" s="45" t="str">
        <x:f t="shared" si="17"/>
        <x:v>ABRIL</x:v>
      </x:c>
      <x:c r="D1103" s="24" t="s">
        <x:v>173</x:v>
      </x:c>
      <x:c r="E1103" s="24" t="s">
        <x:v>674</x:v>
      </x:c>
      <x:c r="F1103" s="24" t="s">
        <x:v>62</x:v>
      </x:c>
      <x:c r="G1103" s="44">
        <x:v>-250.95</x:v>
      </x:c>
      <x:c r="H1103" s="24" t="s">
        <x:v>82</x:v>
      </x:c>
      <x:c r="I1103" s="24" t="s">
        <x:v>311</x:v>
      </x:c>
      <x:c r="J1103" s="24" t="s">
        <x:v>675</x:v>
      </x:c>
      <x:c r="K1103" s="22" t="s">
        <x:v>11</x:v>
      </x:c>
    </x:row>
    <x:row r="1104" hidden="1">
      <x:c r="A1104" s="24" t="s">
        <x:v>335</x:v>
      </x:c>
      <x:c r="B1104" s="25">
        <x:v>46113</x:v>
      </x:c>
      <x:c r="C1104" s="45" t="str">
        <x:f t="shared" si="17"/>
        <x:v>ABRIL</x:v>
      </x:c>
      <x:c r="D1104" s="24" t="s">
        <x:v>173</x:v>
      </x:c>
      <x:c r="E1104" s="24" t="s">
        <x:v>674</x:v>
      </x:c>
      <x:c r="F1104" s="24" t="s">
        <x:v>62</x:v>
      </x:c>
      <x:c r="G1104" s="44">
        <x:v>-209.78</x:v>
      </x:c>
      <x:c r="H1104" s="24" t="s">
        <x:v>82</x:v>
      </x:c>
      <x:c r="I1104" s="24" t="s">
        <x:v>311</x:v>
      </x:c>
      <x:c r="J1104" s="24" t="s">
        <x:v>675</x:v>
      </x:c>
      <x:c r="K1104" s="22" t="s">
        <x:v>11</x:v>
      </x:c>
    </x:row>
    <x:row r="1105" hidden="1">
      <x:c r="A1105" s="24" t="s">
        <x:v>335</x:v>
      </x:c>
      <x:c r="B1105" s="25">
        <x:v>46113</x:v>
      </x:c>
      <x:c r="C1105" s="45" t="str">
        <x:f t="shared" si="17"/>
        <x:v>ABRIL</x:v>
      </x:c>
      <x:c r="D1105" s="24" t="s">
        <x:v>173</x:v>
      </x:c>
      <x:c r="E1105" s="24" t="s">
        <x:v>674</x:v>
      </x:c>
      <x:c r="F1105" s="24" t="s">
        <x:v>62</x:v>
      </x:c>
      <x:c r="G1105" s="44">
        <x:v>-209.78</x:v>
      </x:c>
      <x:c r="H1105" s="24" t="s">
        <x:v>82</x:v>
      </x:c>
      <x:c r="I1105" s="24" t="s">
        <x:v>311</x:v>
      </x:c>
      <x:c r="J1105" s="24" t="s">
        <x:v>675</x:v>
      </x:c>
      <x:c r="K1105" s="22" t="s">
        <x:v>11</x:v>
      </x:c>
    </x:row>
    <x:row r="1106" hidden="1">
      <x:c r="A1106" s="24" t="s">
        <x:v>335</x:v>
      </x:c>
      <x:c r="B1106" s="25">
        <x:v>46113</x:v>
      </x:c>
      <x:c r="C1106" s="45" t="str">
        <x:f t="shared" si="17"/>
        <x:v>ABRIL</x:v>
      </x:c>
      <x:c r="D1106" s="24" t="s">
        <x:v>173</x:v>
      </x:c>
      <x:c r="E1106" s="24" t="s">
        <x:v>674</x:v>
      </x:c>
      <x:c r="F1106" s="24" t="s">
        <x:v>62</x:v>
      </x:c>
      <x:c r="G1106" s="44">
        <x:v>-209.78</x:v>
      </x:c>
      <x:c r="H1106" s="24" t="s">
        <x:v>82</x:v>
      </x:c>
      <x:c r="I1106" s="24" t="s">
        <x:v>311</x:v>
      </x:c>
      <x:c r="J1106" s="24" t="s">
        <x:v>675</x:v>
      </x:c>
      <x:c r="K1106" s="22" t="s">
        <x:v>11</x:v>
      </x:c>
    </x:row>
    <x:row r="1107" hidden="1">
      <x:c r="A1107" s="24" t="s">
        <x:v>325</x:v>
      </x:c>
      <x:c r="B1107" s="25">
        <x:v>46113</x:v>
      </x:c>
      <x:c r="C1107" s="45" t="str">
        <x:f t="shared" si="17"/>
        <x:v>ABRIL</x:v>
      </x:c>
      <x:c r="D1107" s="24" t="s">
        <x:v>227</x:v>
      </x:c>
      <x:c r="E1107" s="24" t="s">
        <x:v>23</x:v>
      </x:c>
      <x:c r="F1107" s="24" t="s">
        <x:v>65</x:v>
      </x:c>
      <x:c r="G1107" s="44">
        <x:v>-200</x:v>
      </x:c>
      <x:c r="H1107" s="24" t="s">
        <x:v>82</x:v>
      </x:c>
      <x:c r="I1107" s="24" t="s">
        <x:v>311</x:v>
      </x:c>
      <x:c r="J1107" s="24" t="s">
        <x:v>676</x:v>
      </x:c>
      <x:c r="K1107" s="22" t="s">
        <x:v>11</x:v>
      </x:c>
    </x:row>
    <x:row r="1108" hidden="1">
      <x:c r="A1108" s="24" t="s">
        <x:v>677</x:v>
      </x:c>
      <x:c r="B1108" s="25">
        <x:v>46113</x:v>
      </x:c>
      <x:c r="C1108" s="45" t="str">
        <x:f t="shared" si="17"/>
        <x:v>ABRIL</x:v>
      </x:c>
      <x:c r="D1108" s="24" t="s">
        <x:v>89</x:v>
      </x:c>
      <x:c r="E1108" s="24" t="s">
        <x:v>678</x:v>
      </x:c>
      <x:c r="F1108" s="24" t="s">
        <x:v>59</x:v>
      </x:c>
      <x:c r="G1108" s="44">
        <x:v>11924.6</x:v>
      </x:c>
      <x:c r="H1108" s="24" t="s">
        <x:v>91</x:v>
      </x:c>
      <x:c r="I1108" s="24" t="s">
        <x:v>311</x:v>
      </x:c>
      <x:c r="J1108" s="24" t="s">
        <x:v>679</x:v>
      </x:c>
      <x:c r="K1108" s="22" t="s">
        <x:v>11</x:v>
      </x:c>
    </x:row>
    <x:row r="1109" hidden="1">
      <x:c r="A1109" s="24" t="s">
        <x:v>680</x:v>
      </x:c>
      <x:c r="B1109" s="25">
        <x:v>46113</x:v>
      </x:c>
      <x:c r="C1109" s="45" t="str">
        <x:f t="shared" si="17"/>
        <x:v>ABRIL</x:v>
      </x:c>
      <x:c r="D1109" s="24" t="s">
        <x:v>89</x:v>
      </x:c>
      <x:c r="E1109" s="24" t="s">
        <x:v>681</x:v>
      </x:c>
      <x:c r="F1109" s="24" t="s">
        <x:v>66</x:v>
      </x:c>
      <x:c r="G1109" s="44">
        <x:v>9940.7999999999993</x:v>
      </x:c>
      <x:c r="H1109" s="24" t="s">
        <x:v>91</x:v>
      </x:c>
      <x:c r="I1109" s="24" t="s">
        <x:v>311</x:v>
      </x:c>
      <x:c r="J1109" s="24" t="s">
        <x:v>675</x:v>
      </x:c>
      <x:c r="K1109" s="22" t="s">
        <x:v>11</x:v>
      </x:c>
    </x:row>
    <x:row r="1110" hidden="1">
      <x:c r="A1110" s="24" t="s">
        <x:v>439</x:v>
      </x:c>
      <x:c r="B1110" s="25">
        <x:v>46113</x:v>
      </x:c>
      <x:c r="C1110" s="45" t="str">
        <x:f t="shared" si="17"/>
        <x:v>ABRIL</x:v>
      </x:c>
      <x:c r="D1110" s="24" t="s">
        <x:v>227</x:v>
      </x:c>
      <x:c r="E1110" s="24" t="s">
        <x:v>170</x:v>
      </x:c>
      <x:c r="F1110" s="24" t="s">
        <x:v>314</x:v>
      </x:c>
      <x:c r="G1110" s="44">
        <x:v>-220</x:v>
      </x:c>
      <x:c r="H1110" s="24" t="s">
        <x:v>82</x:v>
      </x:c>
      <x:c r="I1110" s="24" t="s">
        <x:v>311</x:v>
      </x:c>
      <x:c r="J1110" s="24" t="s">
        <x:v>679</x:v>
      </x:c>
      <x:c r="K1110" s="22" t="s">
        <x:v>11</x:v>
      </x:c>
    </x:row>
    <x:row r="1111" hidden="1">
      <x:c r="A1111" s="24" t="s">
        <x:v>423</x:v>
      </x:c>
      <x:c r="B1111" s="25">
        <x:v>46113</x:v>
      </x:c>
      <x:c r="C1111" s="45" t="str">
        <x:f t="shared" si="17"/>
        <x:v>ABRIL</x:v>
      </x:c>
      <x:c r="D1111" s="24" t="s">
        <x:v>201</x:v>
      </x:c>
      <x:c r="E1111" s="24" t="s">
        <x:v>682</x:v>
      </x:c>
      <x:c r="F1111" s="24" t="s">
        <x:v>65</x:v>
      </x:c>
      <x:c r="G1111" s="44">
        <x:v>-88.052000000000007</x:v>
      </x:c>
      <x:c r="H1111" s="24" t="s">
        <x:v>82</x:v>
      </x:c>
      <x:c r="I1111" s="24" t="s">
        <x:v>311</x:v>
      </x:c>
      <x:c r="J1111" s="24" t="s">
        <x:v>679</x:v>
      </x:c>
      <x:c r="K1111" s="22" t="s">
        <x:v>11</x:v>
      </x:c>
    </x:row>
    <x:row r="1112" hidden="1">
      <x:c r="A1112" s="24" t="s">
        <x:v>423</x:v>
      </x:c>
      <x:c r="B1112" s="25">
        <x:v>46113</x:v>
      </x:c>
      <x:c r="C1112" s="45" t="str">
        <x:f t="shared" si="17"/>
        <x:v>ABRIL</x:v>
      </x:c>
      <x:c r="D1112" s="24" t="s">
        <x:v>201</x:v>
      </x:c>
      <x:c r="E1112" s="24" t="s">
        <x:v>682</x:v>
      </x:c>
      <x:c r="F1112" s="24" t="s">
        <x:v>59</x:v>
      </x:c>
      <x:c r="G1112" s="44">
        <x:v>-88.052000000000007</x:v>
      </x:c>
      <x:c r="H1112" s="24" t="s">
        <x:v>82</x:v>
      </x:c>
      <x:c r="I1112" s="24" t="s">
        <x:v>311</x:v>
      </x:c>
      <x:c r="J1112" s="24" t="s">
        <x:v>679</x:v>
      </x:c>
      <x:c r="K1112" s="22" t="s">
        <x:v>11</x:v>
      </x:c>
    </x:row>
    <x:row r="1113" hidden="1">
      <x:c r="A1113" s="24" t="s">
        <x:v>423</x:v>
      </x:c>
      <x:c r="B1113" s="25">
        <x:v>46113</x:v>
      </x:c>
      <x:c r="C1113" s="45" t="str">
        <x:f t="shared" si="17"/>
        <x:v>ABRIL</x:v>
      </x:c>
      <x:c r="D1113" s="24" t="s">
        <x:v>201</x:v>
      </x:c>
      <x:c r="E1113" s="24" t="s">
        <x:v>682</x:v>
      </x:c>
      <x:c r="F1113" s="24" t="s">
        <x:v>66</x:v>
      </x:c>
      <x:c r="G1113" s="44">
        <x:v>-88.052000000000007</x:v>
      </x:c>
      <x:c r="H1113" s="24" t="s">
        <x:v>82</x:v>
      </x:c>
      <x:c r="I1113" s="24" t="s">
        <x:v>311</x:v>
      </x:c>
      <x:c r="J1113" s="24" t="s">
        <x:v>679</x:v>
      </x:c>
      <x:c r="K1113" s="22" t="s">
        <x:v>11</x:v>
      </x:c>
    </x:row>
    <x:row r="1114" hidden="1">
      <x:c r="A1114" s="24" t="s">
        <x:v>423</x:v>
      </x:c>
      <x:c r="B1114" s="25">
        <x:v>46113</x:v>
      </x:c>
      <x:c r="C1114" s="45" t="str">
        <x:f t="shared" si="17"/>
        <x:v>ABRIL</x:v>
      </x:c>
      <x:c r="D1114" s="24" t="s">
        <x:v>201</x:v>
      </x:c>
      <x:c r="E1114" s="24" t="s">
        <x:v>682</x:v>
      </x:c>
      <x:c r="F1114" s="24" t="s">
        <x:v>44</x:v>
      </x:c>
      <x:c r="G1114" s="44">
        <x:v>-88.052000000000007</x:v>
      </x:c>
      <x:c r="H1114" s="24" t="s">
        <x:v>82</x:v>
      </x:c>
      <x:c r="I1114" s="24" t="s">
        <x:v>311</x:v>
      </x:c>
      <x:c r="J1114" s="24" t="s">
        <x:v>679</x:v>
      </x:c>
      <x:c r="K1114" s="22" t="s">
        <x:v>11</x:v>
      </x:c>
    </x:row>
    <x:row r="1115" hidden="1">
      <x:c r="A1115" s="24" t="s">
        <x:v>423</x:v>
      </x:c>
      <x:c r="B1115" s="25">
        <x:v>46113</x:v>
      </x:c>
      <x:c r="C1115" s="45" t="str">
        <x:f t="shared" si="17"/>
        <x:v>ABRIL</x:v>
      </x:c>
      <x:c r="D1115" s="24" t="s">
        <x:v>201</x:v>
      </x:c>
      <x:c r="E1115" s="24" t="s">
        <x:v>682</x:v>
      </x:c>
      <x:c r="F1115" s="24" t="s">
        <x:v>314</x:v>
      </x:c>
      <x:c r="G1115" s="44">
        <x:v>-88.052000000000007</x:v>
      </x:c>
      <x:c r="H1115" s="24" t="s">
        <x:v>82</x:v>
      </x:c>
      <x:c r="I1115" s="24" t="s">
        <x:v>311</x:v>
      </x:c>
      <x:c r="J1115" s="24" t="s">
        <x:v>679</x:v>
      </x:c>
      <x:c r="K1115" s="22" t="s">
        <x:v>11</x:v>
      </x:c>
    </x:row>
    <x:row r="1116" hidden="1">
      <x:c r="A1116" s="24" t="s">
        <x:v>325</x:v>
      </x:c>
      <x:c r="B1116" s="25">
        <x:v>46113</x:v>
      </x:c>
      <x:c r="C1116" s="45" t="str">
        <x:f t="shared" si="17"/>
        <x:v>ABRIL</x:v>
      </x:c>
      <x:c r="D1116" s="24" t="s">
        <x:v>227</x:v>
      </x:c>
      <x:c r="E1116" s="24" t="s">
        <x:v>58</x:v>
      </x:c>
      <x:c r="F1116" s="24" t="s">
        <x:v>59</x:v>
      </x:c>
      <x:c r="G1116" s="44">
        <x:v>-350</x:v>
      </x:c>
      <x:c r="H1116" s="24" t="s">
        <x:v>82</x:v>
      </x:c>
      <x:c r="I1116" s="24" t="s">
        <x:v>311</x:v>
      </x:c>
      <x:c r="J1116" s="24" t="s">
        <x:v>679</x:v>
      </x:c>
      <x:c r="K1116" s="22" t="s">
        <x:v>11</x:v>
      </x:c>
    </x:row>
    <x:row r="1117" hidden="1">
      <x:c r="A1117" s="24" t="s">
        <x:v>365</x:v>
      </x:c>
      <x:c r="B1117" s="25">
        <x:v>46113</x:v>
      </x:c>
      <x:c r="C1117" s="45" t="str">
        <x:f t="shared" si="17"/>
        <x:v>ABRIL</x:v>
      </x:c>
      <x:c r="D1117" s="30" t="s">
        <x:v>173</x:v>
      </x:c>
      <x:c r="E1117" s="24" t="s">
        <x:v>133</x:v>
      </x:c>
      <x:c r="F1117" s="24" t="s">
        <x:v>59</x:v>
      </x:c>
      <x:c r="G1117" s="44">
        <x:v>-531.08000000000004</x:v>
      </x:c>
      <x:c r="H1117" s="24" t="s">
        <x:v>82</x:v>
      </x:c>
      <x:c r="I1117" s="24" t="s">
        <x:v>311</x:v>
      </x:c>
      <x:c r="J1117" s="24" t="s">
        <x:v>679</x:v>
      </x:c>
      <x:c r="K1117" s="22" t="s">
        <x:v>11</x:v>
      </x:c>
    </x:row>
    <x:row r="1118" hidden="1">
      <x:c r="A1118" s="24" t="s">
        <x:v>683</x:v>
      </x:c>
      <x:c r="B1118" s="25">
        <x:v>46113</x:v>
      </x:c>
      <x:c r="C1118" s="45" t="str">
        <x:f t="shared" si="17"/>
        <x:v>ABRIL</x:v>
      </x:c>
      <x:c r="D1118" s="24" t="s">
        <x:v>89</x:v>
      </x:c>
      <x:c r="E1118" s="24" t="s">
        <x:v>684</x:v>
      </x:c>
      <x:c r="F1118" s="24" t="s">
        <x:v>65</x:v>
      </x:c>
      <x:c r="G1118" s="44">
        <x:v>9711.9</x:v>
      </x:c>
      <x:c r="H1118" s="24" t="s">
        <x:v>91</x:v>
      </x:c>
      <x:c r="I1118" s="24" t="s">
        <x:v>311</x:v>
      </x:c>
      <x:c r="J1118" s="24" t="s">
        <x:v>676</x:v>
      </x:c>
      <x:c r="K1118" s="22" t="s">
        <x:v>11</x:v>
      </x:c>
    </x:row>
    <x:row r="1119" hidden="1">
      <x:c r="A1119" s="24" t="s">
        <x:v>685</x:v>
      </x:c>
      <x:c r="B1119" s="25">
        <x:v>46113</x:v>
      </x:c>
      <x:c r="C1119" s="45" t="str">
        <x:f t="shared" si="17"/>
        <x:v>ABRIL</x:v>
      </x:c>
      <x:c r="D1119" s="24" t="s">
        <x:v>89</x:v>
      </x:c>
      <x:c r="E1119" s="24" t="s">
        <x:v>374</x:v>
      </x:c>
      <x:c r="F1119" s="24" t="s">
        <x:v>44</x:v>
      </x:c>
      <x:c r="G1119" s="44">
        <x:v>13254.4</x:v>
      </x:c>
      <x:c r="H1119" s="24" t="s">
        <x:v>91</x:v>
      </x:c>
      <x:c r="I1119" s="24" t="s">
        <x:v>311</x:v>
      </x:c>
      <x:c r="J1119" s="24" t="s">
        <x:v>676</x:v>
      </x:c>
      <x:c r="K1119" s="22" t="s">
        <x:v>11</x:v>
      </x:c>
    </x:row>
    <x:row r="1120" hidden="1">
      <x:c r="A1120" s="24" t="s">
        <x:v>325</x:v>
      </x:c>
      <x:c r="B1120" s="25">
        <x:v>46113</x:v>
      </x:c>
      <x:c r="C1120" s="45" t="str">
        <x:f t="shared" si="17"/>
        <x:v>ABRIL</x:v>
      </x:c>
      <x:c r="D1120" s="24" t="s">
        <x:v>227</x:v>
      </x:c>
      <x:c r="E1120" s="24" t="s">
        <x:v>338</x:v>
      </x:c>
      <x:c r="F1120" s="24" t="s">
        <x:v>314</x:v>
      </x:c>
      <x:c r="G1120" s="44">
        <x:v>-110.5</x:v>
      </x:c>
      <x:c r="H1120" s="24" t="s">
        <x:v>82</x:v>
      </x:c>
      <x:c r="I1120" s="24" t="s">
        <x:v>311</x:v>
      </x:c>
      <x:c r="J1120" s="24" t="s">
        <x:v>676</x:v>
      </x:c>
      <x:c r="K1120" s="22" t="s">
        <x:v>11</x:v>
      </x:c>
    </x:row>
    <x:row r="1121" hidden="1">
      <x:c r="A1121" s="24" t="s">
        <x:v>439</x:v>
      </x:c>
      <x:c r="B1121" s="25">
        <x:v>46113</x:v>
      </x:c>
      <x:c r="C1121" s="45" t="str">
        <x:f t="shared" si="17"/>
        <x:v>ABRIL</x:v>
      </x:c>
      <x:c r="D1121" s="24" t="s">
        <x:v>227</x:v>
      </x:c>
      <x:c r="E1121" s="24" t="s">
        <x:v>338</x:v>
      </x:c>
      <x:c r="F1121" s="24" t="s">
        <x:v>389</x:v>
      </x:c>
      <x:c r="G1121" s="44">
        <x:v>-62.06</x:v>
      </x:c>
      <x:c r="H1121" s="24" t="s">
        <x:v>82</x:v>
      </x:c>
      <x:c r="I1121" s="24" t="s">
        <x:v>311</x:v>
      </x:c>
      <x:c r="J1121" s="24" t="s">
        <x:v>676</x:v>
      </x:c>
      <x:c r="K1121" s="22" t="s">
        <x:v>11</x:v>
      </x:c>
    </x:row>
    <x:row r="1122" hidden="1">
      <x:c r="A1122" s="24" t="s">
        <x:v>686</x:v>
      </x:c>
      <x:c r="B1122" s="25">
        <x:v>46113</x:v>
      </x:c>
      <x:c r="C1122" s="45" t="str">
        <x:f t="shared" si="17"/>
        <x:v>ABRIL</x:v>
      </x:c>
      <x:c r="D1122" s="24" t="s">
        <x:v>89</x:v>
      </x:c>
      <x:c r="E1122" s="24" t="s">
        <x:v>458</x:v>
      </x:c>
      <x:c r="F1122" s="24" t="s">
        <x:v>59</x:v>
      </x:c>
      <x:c r="G1122" s="44">
        <x:v>10213.299999999999</x:v>
      </x:c>
      <x:c r="H1122" s="24" t="s">
        <x:v>91</x:v>
      </x:c>
      <x:c r="I1122" s="24" t="s">
        <x:v>311</x:v>
      </x:c>
      <x:c r="J1122" s="24" t="s">
        <x:v>676</x:v>
      </x:c>
      <x:c r="K1122" s="22" t="s">
        <x:v>11</x:v>
      </x:c>
    </x:row>
    <x:row r="1123" hidden="1">
      <x:c r="A1123" s="24" t="s">
        <x:v>687</x:v>
      </x:c>
      <x:c r="B1123" s="25">
        <x:v>46113</x:v>
      </x:c>
      <x:c r="C1123" s="45" t="str">
        <x:f t="shared" si="17"/>
        <x:v>ABRIL</x:v>
      </x:c>
      <x:c r="D1123" s="24" t="s">
        <x:v>89</x:v>
      </x:c>
      <x:c r="E1123" s="24" t="s">
        <x:v>374</x:v>
      </x:c>
      <x:c r="F1123" s="24" t="s">
        <x:v>66</x:v>
      </x:c>
      <x:c r="G1123" s="44">
        <x:v>9962.6</x:v>
      </x:c>
      <x:c r="H1123" s="24" t="s">
        <x:v>91</x:v>
      </x:c>
      <x:c r="I1123" s="24" t="s">
        <x:v>311</x:v>
      </x:c>
      <x:c r="J1123" s="24" t="s">
        <x:v>688</x:v>
      </x:c>
      <x:c r="K1123" s="22" t="s">
        <x:v>11</x:v>
      </x:c>
    </x:row>
    <x:row r="1124" hidden="1">
      <x:c r="A1124" s="24" t="s">
        <x:v>335</x:v>
      </x:c>
      <x:c r="B1124" s="25">
        <x:v>46113</x:v>
      </x:c>
      <x:c r="C1124" s="45" t="str">
        <x:f t="shared" si="17"/>
        <x:v>ABRIL</x:v>
      </x:c>
      <x:c r="D1124" s="24" t="s">
        <x:v>132</x:v>
      </x:c>
      <x:c r="E1124" s="24" t="s">
        <x:v>336</x:v>
      </x:c>
      <x:c r="F1124" s="24" t="s">
        <x:v>59</x:v>
      </x:c>
      <x:c r="G1124" s="44">
        <x:v>-2487.63</x:v>
      </x:c>
      <x:c r="H1124" s="24" t="s">
        <x:v>82</x:v>
      </x:c>
      <x:c r="I1124" s="24" t="s">
        <x:v>311</x:v>
      </x:c>
      <x:c r="J1124" s="24" t="s">
        <x:v>688</x:v>
      </x:c>
      <x:c r="K1124" s="22" t="s">
        <x:v>11</x:v>
      </x:c>
    </x:row>
    <x:row r="1125" hidden="1">
      <x:c r="A1125" s="24" t="s">
        <x:v>487</x:v>
      </x:c>
      <x:c r="B1125" s="25">
        <x:v>46113</x:v>
      </x:c>
      <x:c r="C1125" s="45" t="str">
        <x:f t="shared" si="17"/>
        <x:v>ABRIL</x:v>
      </x:c>
      <x:c r="D1125" s="24" t="s">
        <x:v>227</x:v>
      </x:c>
      <x:c r="E1125" s="24" t="s">
        <x:v>488</x:v>
      </x:c>
      <x:c r="F1125" s="24" t="s">
        <x:v>389</x:v>
      </x:c>
      <x:c r="G1125" s="44">
        <x:v>-676</x:v>
      </x:c>
      <x:c r="H1125" s="24" t="s">
        <x:v>82</x:v>
      </x:c>
      <x:c r="I1125" s="24" t="s">
        <x:v>311</x:v>
      </x:c>
      <x:c r="J1125" s="24" t="s">
        <x:v>688</x:v>
      </x:c>
      <x:c r="K1125" s="22" t="s">
        <x:v>11</x:v>
      </x:c>
    </x:row>
    <x:row r="1126" hidden="1">
      <x:c r="A1126" s="24" t="s">
        <x:v>357</x:v>
      </x:c>
      <x:c r="B1126" s="25">
        <x:v>46113</x:v>
      </x:c>
      <x:c r="C1126" s="45" t="str">
        <x:f t="shared" si="17"/>
        <x:v>ABRIL</x:v>
      </x:c>
      <x:c r="D1126" s="24" t="s">
        <x:v>227</x:v>
      </x:c>
      <x:c r="E1126" s="24" t="s">
        <x:v>186</x:v>
      </x:c>
      <x:c r="F1126" s="24" t="s">
        <x:v>44</x:v>
      </x:c>
      <x:c r="G1126" s="44">
        <x:v>-714.4</x:v>
      </x:c>
      <x:c r="H1126" s="24" t="s">
        <x:v>82</x:v>
      </x:c>
      <x:c r="I1126" s="24" t="s">
        <x:v>311</x:v>
      </x:c>
      <x:c r="J1126" s="24" t="s">
        <x:v>688</x:v>
      </x:c>
      <x:c r="K1126" s="22" t="s">
        <x:v>11</x:v>
      </x:c>
    </x:row>
    <x:row r="1127" hidden="1">
      <x:c r="A1127" s="24" t="s">
        <x:v>325</x:v>
      </x:c>
      <x:c r="B1127" s="25">
        <x:v>46113</x:v>
      </x:c>
      <x:c r="C1127" s="45" t="str">
        <x:f t="shared" si="17"/>
        <x:v>ABRIL</x:v>
      </x:c>
      <x:c r="D1127" s="24" t="s">
        <x:v>227</x:v>
      </x:c>
      <x:c r="E1127" s="24" t="s">
        <x:v>186</x:v>
      </x:c>
      <x:c r="F1127" s="24" t="s">
        <x:v>44</x:v>
      </x:c>
      <x:c r="G1127" s="44">
        <x:v>-1046.3800000000001</x:v>
      </x:c>
      <x:c r="H1127" s="24" t="s">
        <x:v>82</x:v>
      </x:c>
      <x:c r="I1127" s="24" t="s">
        <x:v>311</x:v>
      </x:c>
      <x:c r="J1127" s="24" t="s">
        <x:v>688</x:v>
      </x:c>
      <x:c r="K1127" s="22" t="s">
        <x:v>11</x:v>
      </x:c>
    </x:row>
    <x:row r="1128" hidden="1">
      <x:c r="A1128" s="24" t="s">
        <x:v>689</x:v>
      </x:c>
      <x:c r="B1128" s="25">
        <x:v>46113</x:v>
      </x:c>
      <x:c r="C1128" s="45" t="str">
        <x:f t="shared" si="17"/>
        <x:v>ABRIL</x:v>
      </x:c>
      <x:c r="D1128" s="24" t="s">
        <x:v>227</x:v>
      </x:c>
      <x:c r="E1128" s="24" t="s">
        <x:v>517</x:v>
      </x:c>
      <x:c r="F1128" s="24" t="s">
        <x:v>44</x:v>
      </x:c>
      <x:c r="G1128" s="44">
        <x:v>-780.28</x:v>
      </x:c>
      <x:c r="H1128" s="24" t="s">
        <x:v>82</x:v>
      </x:c>
      <x:c r="I1128" s="24" t="s">
        <x:v>311</x:v>
      </x:c>
      <x:c r="J1128" s="24" t="s">
        <x:v>688</x:v>
      </x:c>
      <x:c r="K1128" s="22" t="s">
        <x:v>11</x:v>
      </x:c>
    </x:row>
    <x:row r="1129" hidden="1">
      <x:c r="A1129" s="24" t="s">
        <x:v>357</x:v>
      </x:c>
      <x:c r="B1129" s="25">
        <x:v>46113</x:v>
      </x:c>
      <x:c r="C1129" s="45" t="str">
        <x:f t="shared" si="17"/>
        <x:v>ABRIL</x:v>
      </x:c>
      <x:c r="D1129" s="24" t="s">
        <x:v>227</x:v>
      </x:c>
      <x:c r="E1129" s="24" t="s">
        <x:v>186</x:v>
      </x:c>
      <x:c r="F1129" s="24" t="s">
        <x:v>65</x:v>
      </x:c>
      <x:c r="G1129" s="44">
        <x:v>-907.67</x:v>
      </x:c>
      <x:c r="H1129" s="24" t="s">
        <x:v>82</x:v>
      </x:c>
      <x:c r="I1129" s="24" t="s">
        <x:v>311</x:v>
      </x:c>
      <x:c r="J1129" s="24" t="s">
        <x:v>688</x:v>
      </x:c>
      <x:c r="K1129" s="22" t="s">
        <x:v>11</x:v>
      </x:c>
    </x:row>
    <x:row r="1130" hidden="1">
      <x:c r="A1130" s="24" t="s">
        <x:v>325</x:v>
      </x:c>
      <x:c r="B1130" s="25">
        <x:v>46113</x:v>
      </x:c>
      <x:c r="C1130" s="45" t="str">
        <x:f t="shared" si="17"/>
        <x:v>ABRIL</x:v>
      </x:c>
      <x:c r="D1130" s="24" t="s">
        <x:v>227</x:v>
      </x:c>
      <x:c r="E1130" s="24" t="s">
        <x:v>186</x:v>
      </x:c>
      <x:c r="F1130" s="24" t="s">
        <x:v>65</x:v>
      </x:c>
      <x:c r="G1130" s="44">
        <x:v>-550</x:v>
      </x:c>
      <x:c r="H1130" s="24" t="s">
        <x:v>82</x:v>
      </x:c>
      <x:c r="I1130" s="24" t="s">
        <x:v>311</x:v>
      </x:c>
      <x:c r="J1130" s="24" t="s">
        <x:v>688</x:v>
      </x:c>
      <x:c r="K1130" s="22" t="s">
        <x:v>11</x:v>
      </x:c>
    </x:row>
    <x:row r="1131" hidden="1">
      <x:c r="A1131" s="24" t="s">
        <x:v>325</x:v>
      </x:c>
      <x:c r="B1131" s="25">
        <x:v>46113</x:v>
      </x:c>
      <x:c r="C1131" s="45" t="str">
        <x:f t="shared" si="17"/>
        <x:v>ABRIL</x:v>
      </x:c>
      <x:c r="D1131" s="24" t="s">
        <x:v>227</x:v>
      </x:c>
      <x:c r="E1131" s="24" t="s">
        <x:v>690</x:v>
      </x:c>
      <x:c r="F1131" s="24" t="s">
        <x:v>62</x:v>
      </x:c>
      <x:c r="G1131" s="44">
        <x:v>-3250</x:v>
      </x:c>
      <x:c r="H1131" s="24" t="s">
        <x:v>82</x:v>
      </x:c>
      <x:c r="I1131" s="24" t="s">
        <x:v>311</x:v>
      </x:c>
      <x:c r="J1131" s="24" t="s">
        <x:v>688</x:v>
      </x:c>
      <x:c r="K1131" s="22" t="s">
        <x:v>11</x:v>
      </x:c>
    </x:row>
    <x:row r="1132" hidden="1">
      <x:c r="A1132" s="24" t="s">
        <x:v>691</x:v>
      </x:c>
      <x:c r="B1132" s="25">
        <x:v>46113</x:v>
      </x:c>
      <x:c r="C1132" s="45" t="str">
        <x:f t="shared" si="17"/>
        <x:v>ABRIL</x:v>
      </x:c>
      <x:c r="D1132" s="24" t="s">
        <x:v>89</x:v>
      </x:c>
      <x:c r="E1132" s="24" t="s">
        <x:v>526</x:v>
      </x:c>
      <x:c r="F1132" s="24" t="s">
        <x:v>65</x:v>
      </x:c>
      <x:c r="G1132" s="44">
        <x:v>9842.7000000000007</x:v>
      </x:c>
      <x:c r="H1132" s="24" t="s">
        <x:v>91</x:v>
      </x:c>
      <x:c r="I1132" s="24" t="s">
        <x:v>311</x:v>
      </x:c>
      <x:c r="J1132" s="24" t="s">
        <x:v>692</x:v>
      </x:c>
      <x:c r="K1132" s="22" t="s">
        <x:v>11</x:v>
      </x:c>
    </x:row>
    <x:row r="1133" hidden="1">
      <x:c r="A1133" s="24" t="s">
        <x:v>325</x:v>
      </x:c>
      <x:c r="B1133" s="25">
        <x:v>46113</x:v>
      </x:c>
      <x:c r="C1133" s="45" t="str">
        <x:f t="shared" si="17"/>
        <x:v>ABRIL</x:v>
      </x:c>
      <x:c r="D1133" s="24" t="s">
        <x:v>227</x:v>
      </x:c>
      <x:c r="E1133" s="24" t="s">
        <x:v>24</x:v>
      </x:c>
      <x:c r="F1133" s="24" t="s">
        <x:v>66</x:v>
      </x:c>
      <x:c r="G1133" s="44">
        <x:v>-70</x:v>
      </x:c>
      <x:c r="H1133" s="24" t="s">
        <x:v>82</x:v>
      </x:c>
      <x:c r="I1133" s="24" t="s">
        <x:v>311</x:v>
      </x:c>
      <x:c r="J1133" s="24" t="s">
        <x:v>688</x:v>
      </x:c>
      <x:c r="K1133" s="22" t="s">
        <x:v>11</x:v>
      </x:c>
    </x:row>
    <x:row r="1134" hidden="1">
      <x:c r="A1134" s="24" t="s">
        <x:v>439</x:v>
      </x:c>
      <x:c r="B1134" s="25">
        <x:v>46113</x:v>
      </x:c>
      <x:c r="C1134" s="45" t="str">
        <x:f t="shared" si="17"/>
        <x:v>ABRIL</x:v>
      </x:c>
      <x:c r="D1134" s="24" t="s">
        <x:v>227</x:v>
      </x:c>
      <x:c r="E1134" s="24" t="s">
        <x:v>170</x:v>
      </x:c>
      <x:c r="F1134" s="24" t="s">
        <x:v>44</x:v>
      </x:c>
      <x:c r="G1134" s="44">
        <x:v>-110</x:v>
      </x:c>
      <x:c r="H1134" s="24" t="s">
        <x:v>82</x:v>
      </x:c>
      <x:c r="I1134" s="24" t="s">
        <x:v>311</x:v>
      </x:c>
      <x:c r="J1134" s="24" t="s">
        <x:v>692</x:v>
      </x:c>
      <x:c r="K1134" s="22" t="s">
        <x:v>11</x:v>
      </x:c>
    </x:row>
    <x:row r="1135" hidden="1">
      <x:c r="A1135" s="24" t="s">
        <x:v>325</x:v>
      </x:c>
      <x:c r="B1135" s="25">
        <x:v>46113</x:v>
      </x:c>
      <x:c r="C1135" s="45" t="str">
        <x:f t="shared" si="17"/>
        <x:v>ABRIL</x:v>
      </x:c>
      <x:c r="D1135" s="24" t="s">
        <x:v>227</x:v>
      </x:c>
      <x:c r="E1135" s="24" t="s">
        <x:v>693</x:v>
      </x:c>
      <x:c r="F1135" s="24" t="s">
        <x:v>389</x:v>
      </x:c>
      <x:c r="G1135" s="44">
        <x:v>-598</x:v>
      </x:c>
      <x:c r="H1135" s="24" t="s">
        <x:v>82</x:v>
      </x:c>
      <x:c r="I1135" s="24" t="s">
        <x:v>311</x:v>
      </x:c>
      <x:c r="J1135" s="24" t="s">
        <x:v>692</x:v>
      </x:c>
      <x:c r="K1135" s="22" t="s">
        <x:v>11</x:v>
      </x:c>
    </x:row>
    <x:row r="1136" hidden="1">
      <x:c r="A1136" s="24" t="s">
        <x:v>325</x:v>
      </x:c>
      <x:c r="B1136" s="25">
        <x:v>46113</x:v>
      </x:c>
      <x:c r="C1136" s="45" t="str">
        <x:f t="shared" si="17"/>
        <x:v>ABRIL</x:v>
      </x:c>
      <x:c r="D1136" s="24" t="s">
        <x:v>227</x:v>
      </x:c>
      <x:c r="E1136" s="24" t="s">
        <x:v>186</x:v>
      </x:c>
      <x:c r="F1136" s="24" t="s">
        <x:v>314</x:v>
      </x:c>
      <x:c r="G1136" s="44">
        <x:v>-1003.53</x:v>
      </x:c>
      <x:c r="H1136" s="24" t="s">
        <x:v>82</x:v>
      </x:c>
      <x:c r="I1136" s="24" t="s">
        <x:v>311</x:v>
      </x:c>
      <x:c r="J1136" s="24" t="s">
        <x:v>692</x:v>
      </x:c>
      <x:c r="K1136" s="22" t="s">
        <x:v>11</x:v>
      </x:c>
    </x:row>
    <x:row r="1137" hidden="1">
      <x:c r="A1137" s="24" t="s">
        <x:v>325</x:v>
      </x:c>
      <x:c r="B1137" s="25">
        <x:v>46113</x:v>
      </x:c>
      <x:c r="C1137" s="45" t="str">
        <x:f t="shared" si="17"/>
        <x:v>ABRIL</x:v>
      </x:c>
      <x:c r="D1137" s="24" t="s">
        <x:v>227</x:v>
      </x:c>
      <x:c r="E1137" s="24" t="s">
        <x:v>186</x:v>
      </x:c>
      <x:c r="F1137" s="24" t="s">
        <x:v>314</x:v>
      </x:c>
      <x:c r="G1137" s="44">
        <x:v>-178.8</x:v>
      </x:c>
      <x:c r="H1137" s="24" t="s">
        <x:v>82</x:v>
      </x:c>
      <x:c r="I1137" s="24" t="s">
        <x:v>311</x:v>
      </x:c>
      <x:c r="J1137" s="24" t="s">
        <x:v>692</x:v>
      </x:c>
      <x:c r="K1137" s="22" t="s">
        <x:v>11</x:v>
      </x:c>
    </x:row>
    <x:row r="1138" hidden="1">
      <x:c r="A1138" s="24" t="s">
        <x:v>357</x:v>
      </x:c>
      <x:c r="B1138" s="25">
        <x:v>46113</x:v>
      </x:c>
      <x:c r="C1138" s="45" t="str">
        <x:f t="shared" si="17"/>
        <x:v>ABRIL</x:v>
      </x:c>
      <x:c r="D1138" s="24" t="s">
        <x:v>227</x:v>
      </x:c>
      <x:c r="E1138" s="24" t="s">
        <x:v>186</x:v>
      </x:c>
      <x:c r="F1138" s="24" t="s">
        <x:v>314</x:v>
      </x:c>
      <x:c r="G1138" s="44">
        <x:v>-1879.18</x:v>
      </x:c>
      <x:c r="H1138" s="24" t="s">
        <x:v>82</x:v>
      </x:c>
      <x:c r="I1138" s="24" t="s">
        <x:v>311</x:v>
      </x:c>
      <x:c r="J1138" s="24" t="s">
        <x:v>692</x:v>
      </x:c>
      <x:c r="K1138" s="22" t="s">
        <x:v>11</x:v>
      </x:c>
    </x:row>
    <x:row r="1139" hidden="1">
      <x:c r="A1139" s="24" t="s">
        <x:v>115</x:v>
      </x:c>
      <x:c r="B1139" s="25">
        <x:v>46113</x:v>
      </x:c>
      <x:c r="C1139" s="45" t="str">
        <x:f t="shared" si="17"/>
        <x:v>ABRIL</x:v>
      </x:c>
      <x:c r="D1139" s="24" t="s">
        <x:v>116</x:v>
      </x:c>
      <x:c r="E1139" s="24" t="s">
        <x:v>349</x:v>
      </x:c>
      <x:c r="F1139" s="24" t="s">
        <x:v>314</x:v>
      </x:c>
      <x:c r="G1139" s="44">
        <x:v>-2753.11</x:v>
      </x:c>
      <x:c r="H1139" s="24" t="s">
        <x:v>82</x:v>
      </x:c>
      <x:c r="I1139" s="24" t="s">
        <x:v>311</x:v>
      </x:c>
      <x:c r="J1139" s="24" t="s">
        <x:v>692</x:v>
      </x:c>
      <x:c r="K1139" s="22" t="s">
        <x:v>11</x:v>
      </x:c>
    </x:row>
    <x:row r="1140" hidden="1">
      <x:c r="A1140" s="24" t="s">
        <x:v>309</x:v>
      </x:c>
      <x:c r="B1140" s="25">
        <x:v>46113</x:v>
      </x:c>
      <x:c r="C1140" s="45" t="str">
        <x:f t="shared" si="17"/>
        <x:v>ABRIL</x:v>
      </x:c>
      <x:c r="D1140" s="24" t="s">
        <x:v>227</x:v>
      </x:c>
      <x:c r="E1140" s="24" t="s">
        <x:v>667</x:v>
      </x:c>
      <x:c r="F1140" s="24" t="s">
        <x:v>65</x:v>
      </x:c>
      <x:c r="G1140" s="44">
        <x:v>-570.01</x:v>
      </x:c>
      <x:c r="H1140" s="24" t="s">
        <x:v>82</x:v>
      </x:c>
      <x:c r="I1140" s="24" t="s">
        <x:v>311</x:v>
      </x:c>
      <x:c r="J1140" s="24" t="s">
        <x:v>692</x:v>
      </x:c>
      <x:c r="K1140" s="22" t="s">
        <x:v>11</x:v>
      </x:c>
    </x:row>
    <x:row r="1141" hidden="1">
      <x:c r="A1141" s="24" t="s">
        <x:v>309</x:v>
      </x:c>
      <x:c r="B1141" s="25">
        <x:v>46113</x:v>
      </x:c>
      <x:c r="C1141" s="45" t="str">
        <x:f t="shared" si="17"/>
        <x:v>ABRIL</x:v>
      </x:c>
      <x:c r="D1141" s="24" t="s">
        <x:v>227</x:v>
      </x:c>
      <x:c r="E1141" s="24" t="s">
        <x:v>667</x:v>
      </x:c>
      <x:c r="F1141" s="24" t="s">
        <x:v>66</x:v>
      </x:c>
      <x:c r="G1141" s="44">
        <x:v>-2661.62</x:v>
      </x:c>
      <x:c r="H1141" s="24" t="s">
        <x:v>82</x:v>
      </x:c>
      <x:c r="I1141" s="24" t="s">
        <x:v>311</x:v>
      </x:c>
      <x:c r="J1141" s="24" t="s">
        <x:v>692</x:v>
      </x:c>
      <x:c r="K1141" s="22" t="s">
        <x:v>11</x:v>
      </x:c>
    </x:row>
    <x:row r="1142" hidden="1">
      <x:c r="A1142" s="24" t="s">
        <x:v>309</x:v>
      </x:c>
      <x:c r="B1142" s="25">
        <x:v>46113</x:v>
      </x:c>
      <x:c r="C1142" s="45" t="str">
        <x:f t="shared" si="17"/>
        <x:v>ABRIL</x:v>
      </x:c>
      <x:c r="D1142" s="24" t="s">
        <x:v>227</x:v>
      </x:c>
      <x:c r="E1142" s="24" t="s">
        <x:v>327</x:v>
      </x:c>
      <x:c r="F1142" s="24" t="s">
        <x:v>59</x:v>
      </x:c>
      <x:c r="G1142" s="44">
        <x:v>-5544.06</x:v>
      </x:c>
      <x:c r="H1142" s="24" t="s">
        <x:v>82</x:v>
      </x:c>
      <x:c r="I1142" s="24" t="s">
        <x:v>311</x:v>
      </x:c>
      <x:c r="J1142" s="24" t="s">
        <x:v>692</x:v>
      </x:c>
      <x:c r="K1142" s="22" t="s">
        <x:v>11</x:v>
      </x:c>
    </x:row>
    <x:row r="1143" hidden="1">
      <x:c r="A1143" s="24" t="s">
        <x:v>309</x:v>
      </x:c>
      <x:c r="B1143" s="25">
        <x:v>46113</x:v>
      </x:c>
      <x:c r="C1143" s="45" t="str">
        <x:f t="shared" si="17"/>
        <x:v>ABRIL</x:v>
      </x:c>
      <x:c r="D1143" s="24" t="s">
        <x:v>227</x:v>
      </x:c>
      <x:c r="E1143" s="24" t="s">
        <x:v>327</x:v>
      </x:c>
      <x:c r="F1143" s="24" t="s">
        <x:v>44</x:v>
      </x:c>
      <x:c r="G1143" s="44">
        <x:v>-2546.84</x:v>
      </x:c>
      <x:c r="H1143" s="24" t="s">
        <x:v>82</x:v>
      </x:c>
      <x:c r="I1143" s="24" t="s">
        <x:v>311</x:v>
      </x:c>
      <x:c r="J1143" s="24" t="s">
        <x:v>692</x:v>
      </x:c>
      <x:c r="K1143" s="22" t="s">
        <x:v>11</x:v>
      </x:c>
    </x:row>
    <x:row r="1144" hidden="1">
      <x:c r="A1144" s="24" t="s">
        <x:v>309</x:v>
      </x:c>
      <x:c r="B1144" s="25">
        <x:v>46113</x:v>
      </x:c>
      <x:c r="C1144" s="45" t="str">
        <x:f t="shared" si="17"/>
        <x:v>ABRIL</x:v>
      </x:c>
      <x:c r="D1144" s="24" t="s">
        <x:v>227</x:v>
      </x:c>
      <x:c r="E1144" s="24" t="s">
        <x:v>327</x:v>
      </x:c>
      <x:c r="F1144" s="24" t="s">
        <x:v>66</x:v>
      </x:c>
      <x:c r="G1144" s="44">
        <x:v>-2077.08</x:v>
      </x:c>
      <x:c r="H1144" s="24" t="s">
        <x:v>82</x:v>
      </x:c>
      <x:c r="I1144" s="24" t="s">
        <x:v>311</x:v>
      </x:c>
      <x:c r="J1144" s="24" t="s">
        <x:v>692</x:v>
      </x:c>
      <x:c r="K1144" s="22" t="s">
        <x:v>11</x:v>
      </x:c>
    </x:row>
    <x:row r="1145" hidden="1">
      <x:c r="A1145" s="24" t="s">
        <x:v>309</x:v>
      </x:c>
      <x:c r="B1145" s="25">
        <x:v>46113</x:v>
      </x:c>
      <x:c r="C1145" s="45" t="str">
        <x:f t="shared" si="17"/>
        <x:v>ABRIL</x:v>
      </x:c>
      <x:c r="D1145" s="24" t="s">
        <x:v>227</x:v>
      </x:c>
      <x:c r="E1145" s="24" t="s">
        <x:v>666</x:v>
      </x:c>
      <x:c r="F1145" s="24" t="s">
        <x:v>59</x:v>
      </x:c>
      <x:c r="G1145" s="44">
        <x:v>-8287.73</x:v>
      </x:c>
      <x:c r="H1145" s="24" t="s">
        <x:v>82</x:v>
      </x:c>
      <x:c r="I1145" s="24" t="s">
        <x:v>311</x:v>
      </x:c>
      <x:c r="J1145" s="24" t="s">
        <x:v>692</x:v>
      </x:c>
      <x:c r="K1145" s="22" t="s">
        <x:v>11</x:v>
      </x:c>
    </x:row>
    <x:row r="1146" hidden="1">
      <x:c r="A1146" s="24" t="s">
        <x:v>309</x:v>
      </x:c>
      <x:c r="B1146" s="25">
        <x:v>46113</x:v>
      </x:c>
      <x:c r="C1146" s="45" t="str">
        <x:f t="shared" si="17"/>
        <x:v>ABRIL</x:v>
      </x:c>
      <x:c r="D1146" s="24" t="s">
        <x:v>227</x:v>
      </x:c>
      <x:c r="E1146" s="24" t="s">
        <x:v>666</x:v>
      </x:c>
      <x:c r="F1146" s="24" t="s">
        <x:v>44</x:v>
      </x:c>
      <x:c r="G1146" s="44">
        <x:v>-6006.93</x:v>
      </x:c>
      <x:c r="H1146" s="24" t="s">
        <x:v>82</x:v>
      </x:c>
      <x:c r="I1146" s="24" t="s">
        <x:v>311</x:v>
      </x:c>
      <x:c r="J1146" s="24" t="s">
        <x:v>692</x:v>
      </x:c>
      <x:c r="K1146" s="22" t="s">
        <x:v>11</x:v>
      </x:c>
    </x:row>
    <x:row r="1147" hidden="1">
      <x:c r="A1147" s="24" t="s">
        <x:v>309</x:v>
      </x:c>
      <x:c r="B1147" s="25">
        <x:v>46113</x:v>
      </x:c>
      <x:c r="C1147" s="45" t="str">
        <x:f t="shared" si="17"/>
        <x:v>ABRIL</x:v>
      </x:c>
      <x:c r="D1147" s="24" t="s">
        <x:v>227</x:v>
      </x:c>
      <x:c r="E1147" s="24" t="s">
        <x:v>666</x:v>
      </x:c>
      <x:c r="F1147" s="24" t="s">
        <x:v>65</x:v>
      </x:c>
      <x:c r="G1147" s="44">
        <x:v>-11511.8</x:v>
      </x:c>
      <x:c r="H1147" s="24" t="s">
        <x:v>82</x:v>
      </x:c>
      <x:c r="I1147" s="24" t="s">
        <x:v>311</x:v>
      </x:c>
      <x:c r="J1147" s="24" t="s">
        <x:v>692</x:v>
      </x:c>
      <x:c r="K1147" s="22" t="s">
        <x:v>11</x:v>
      </x:c>
    </x:row>
    <x:row r="1148" hidden="1">
      <x:c r="A1148" s="24" t="s">
        <x:v>309</x:v>
      </x:c>
      <x:c r="B1148" s="25">
        <x:v>46113</x:v>
      </x:c>
      <x:c r="C1148" s="45" t="str">
        <x:f t="shared" si="17"/>
        <x:v>ABRIL</x:v>
      </x:c>
      <x:c r="D1148" s="24" t="s">
        <x:v>227</x:v>
      </x:c>
      <x:c r="E1148" s="24" t="s">
        <x:v>666</x:v>
      </x:c>
      <x:c r="F1148" s="24" t="s">
        <x:v>66</x:v>
      </x:c>
      <x:c r="G1148" s="44">
        <x:v>-2824.78</x:v>
      </x:c>
      <x:c r="H1148" s="24" t="s">
        <x:v>82</x:v>
      </x:c>
      <x:c r="I1148" s="24" t="s">
        <x:v>311</x:v>
      </x:c>
      <x:c r="J1148" s="24" t="s">
        <x:v>692</x:v>
      </x:c>
      <x:c r="K1148" s="22" t="s">
        <x:v>11</x:v>
      </x:c>
    </x:row>
    <x:row r="1149" hidden="1">
      <x:c r="A1149" s="24" t="s">
        <x:v>694</x:v>
      </x:c>
      <x:c r="B1149" s="25">
        <x:v>46113</x:v>
      </x:c>
      <x:c r="C1149" s="45" t="str">
        <x:f t="shared" si="17"/>
        <x:v>ABRIL</x:v>
      </x:c>
      <x:c r="D1149" s="24" t="s">
        <x:v>89</x:v>
      </x:c>
      <x:c r="E1149" s="24" t="s">
        <x:v>681</x:v>
      </x:c>
      <x:c r="F1149" s="24" t="s">
        <x:v>59</x:v>
      </x:c>
      <x:c r="G1149" s="44">
        <x:v>11608.5</x:v>
      </x:c>
      <x:c r="H1149" s="24" t="s">
        <x:v>91</x:v>
      </x:c>
      <x:c r="I1149" s="24" t="s">
        <x:v>311</x:v>
      </x:c>
      <x:c r="J1149" s="24" t="s">
        <x:v>692</x:v>
      </x:c>
      <x:c r="K1149" s="22" t="s">
        <x:v>11</x:v>
      </x:c>
    </x:row>
    <x:row r="1150" hidden="1">
      <x:c r="A1150" s="24" t="s">
        <x:v>695</x:v>
      </x:c>
      <x:c r="B1150" s="25">
        <x:v>46113</x:v>
      </x:c>
      <x:c r="C1150" s="45" t="str">
        <x:f t="shared" si="17"/>
        <x:v>ABRIL</x:v>
      </x:c>
      <x:c r="D1150" s="24" t="s">
        <x:v>89</x:v>
      </x:c>
      <x:c r="E1150" s="24" t="s">
        <x:v>684</x:v>
      </x:c>
      <x:c r="F1150" s="24" t="s">
        <x:v>65</x:v>
      </x:c>
      <x:c r="G1150" s="44">
        <x:v>9635.6</x:v>
      </x:c>
      <x:c r="H1150" s="24" t="s">
        <x:v>91</x:v>
      </x:c>
      <x:c r="I1150" s="24" t="s">
        <x:v>311</x:v>
      </x:c>
      <x:c r="J1150" s="24" t="s">
        <x:v>696</x:v>
      </x:c>
      <x:c r="K1150" s="22" t="s">
        <x:v>11</x:v>
      </x:c>
    </x:row>
    <x:row r="1151" hidden="1">
      <x:c r="A1151" s="24" t="s">
        <x:v>697</x:v>
      </x:c>
      <x:c r="B1151" s="25">
        <x:v>46113</x:v>
      </x:c>
      <x:c r="C1151" s="45" t="str">
        <x:f t="shared" si="17"/>
        <x:v>ABRIL</x:v>
      </x:c>
      <x:c r="D1151" s="24" t="s">
        <x:v>89</x:v>
      </x:c>
      <x:c r="E1151" s="24" t="s">
        <x:v>698</x:v>
      </x:c>
      <x:c r="F1151" s="24" t="s">
        <x:v>66</x:v>
      </x:c>
      <x:c r="G1151" s="44">
        <x:v>8970.7000000000007</x:v>
      </x:c>
      <x:c r="H1151" s="24" t="s">
        <x:v>91</x:v>
      </x:c>
      <x:c r="I1151" s="24" t="s">
        <x:v>311</x:v>
      </x:c>
      <x:c r="J1151" s="24" t="s">
        <x:v>699</x:v>
      </x:c>
      <x:c r="K1151" s="22" t="s">
        <x:v>11</x:v>
      </x:c>
    </x:row>
    <x:row r="1152" hidden="1">
      <x:c r="A1152" s="24" t="s">
        <x:v>700</x:v>
      </x:c>
      <x:c r="B1152" s="25">
        <x:v>46113</x:v>
      </x:c>
      <x:c r="C1152" s="45" t="str">
        <x:f t="shared" si="17"/>
        <x:v>ABRIL</x:v>
      </x:c>
      <x:c r="D1152" s="24" t="s">
        <x:v>89</x:v>
      </x:c>
      <x:c r="E1152" s="24" t="s">
        <x:v>701</x:v>
      </x:c>
      <x:c r="F1152" s="24" t="s">
        <x:v>44</x:v>
      </x:c>
      <x:c r="G1152" s="44">
        <x:v>13777.6</x:v>
      </x:c>
      <x:c r="H1152" s="24" t="s">
        <x:v>91</x:v>
      </x:c>
      <x:c r="I1152" s="24" t="s">
        <x:v>311</x:v>
      </x:c>
      <x:c r="J1152" s="24" t="s">
        <x:v>699</x:v>
      </x:c>
      <x:c r="K1152" s="22" t="s">
        <x:v>11</x:v>
      </x:c>
    </x:row>
    <x:row r="1153" hidden="1">
      <x:c r="A1153" s="24" t="s">
        <x:v>325</x:v>
      </x:c>
      <x:c r="B1153" s="25">
        <x:v>46113</x:v>
      </x:c>
      <x:c r="C1153" s="45" t="str">
        <x:f t="shared" si="17"/>
        <x:v>ABRIL</x:v>
      </x:c>
      <x:c r="D1153" s="24" t="s">
        <x:v>227</x:v>
      </x:c>
      <x:c r="E1153" s="24" t="s">
        <x:v>702</x:v>
      </x:c>
      <x:c r="F1153" s="24" t="s">
        <x:v>65</x:v>
      </x:c>
      <x:c r="G1153" s="44">
        <x:v>-60</x:v>
      </x:c>
      <x:c r="H1153" s="24" t="s">
        <x:v>82</x:v>
      </x:c>
      <x:c r="I1153" s="24" t="s">
        <x:v>311</x:v>
      </x:c>
      <x:c r="J1153" s="24" t="s">
        <x:v>696</x:v>
      </x:c>
      <x:c r="K1153" s="22" t="s">
        <x:v>11</x:v>
      </x:c>
    </x:row>
    <x:row r="1154" hidden="1">
      <x:c r="A1154" s="30" t="s">
        <x:v>112</x:v>
      </x:c>
      <x:c r="B1154" s="25">
        <x:v>46113</x:v>
      </x:c>
      <x:c r="C1154" s="45" t="str">
        <x:f t="shared" ref="C1154:C1217" si="18">UPPER(TEXT(B1154,"MMMM"))</x:f>
        <x:v>APRIL</x:v>
      </x:c>
      <x:c r="D1154" s="24" t="s">
        <x:v>112</x:v>
      </x:c>
      <x:c r="E1154" s="24" t="s">
        <x:v>341</x:v>
      </x:c>
      <x:c r="F1154" s="24" t="s">
        <x:v>59</x:v>
      </x:c>
      <x:c r="G1154" s="44">
        <x:v>-21277.56</x:v>
      </x:c>
      <x:c r="H1154" s="24" t="s">
        <x:v>82</x:v>
      </x:c>
      <x:c r="I1154" s="24" t="s">
        <x:v>311</x:v>
      </x:c>
      <x:c r="J1154" s="24" t="s">
        <x:v>703</x:v>
      </x:c>
      <x:c r="K1154" s="22" t="s">
        <x:v>11</x:v>
      </x:c>
    </x:row>
    <x:row r="1155" hidden="1">
      <x:c r="A1155" s="30" t="s">
        <x:v>112</x:v>
      </x:c>
      <x:c r="B1155" s="25">
        <x:v>46113</x:v>
      </x:c>
      <x:c r="C1155" s="45" t="str">
        <x:f t="shared" si="18"/>
        <x:v>ABRIL</x:v>
      </x:c>
      <x:c r="D1155" s="24" t="s">
        <x:v>112</x:v>
      </x:c>
      <x:c r="E1155" s="24" t="s">
        <x:v>341</x:v>
      </x:c>
      <x:c r="F1155" s="24" t="s">
        <x:v>44</x:v>
      </x:c>
      <x:c r="G1155" s="44">
        <x:v>-21277.56</x:v>
      </x:c>
      <x:c r="H1155" s="24" t="s">
        <x:v>82</x:v>
      </x:c>
      <x:c r="I1155" s="24" t="s">
        <x:v>311</x:v>
      </x:c>
      <x:c r="J1155" s="24" t="s">
        <x:v>703</x:v>
      </x:c>
      <x:c r="K1155" s="22" t="s">
        <x:v>11</x:v>
      </x:c>
    </x:row>
    <x:row r="1156" hidden="1">
      <x:c r="A1156" s="24" t="s">
        <x:v>689</x:v>
      </x:c>
      <x:c r="B1156" s="25">
        <x:v>46113</x:v>
      </x:c>
      <x:c r="C1156" s="45" t="str">
        <x:f t="shared" si="18"/>
        <x:v>ABRIL</x:v>
      </x:c>
      <x:c r="D1156" s="24" t="s">
        <x:v>227</x:v>
      </x:c>
      <x:c r="E1156" s="24" t="s">
        <x:v>517</x:v>
      </x:c>
      <x:c r="F1156" s="24" t="s">
        <x:v>494</x:v>
      </x:c>
      <x:c r="G1156" s="44">
        <x:v>-400</x:v>
      </x:c>
      <x:c r="H1156" s="24" t="s">
        <x:v>82</x:v>
      </x:c>
      <x:c r="I1156" s="24" t="s">
        <x:v>311</x:v>
      </x:c>
      <x:c r="J1156" s="24" t="s">
        <x:v>692</x:v>
      </x:c>
      <x:c r="K1156" s="22" t="s">
        <x:v>11</x:v>
      </x:c>
    </x:row>
    <x:row r="1157" hidden="1">
      <x:c r="A1157" s="24" t="s">
        <x:v>309</x:v>
      </x:c>
      <x:c r="B1157" s="25">
        <x:v>46113</x:v>
      </x:c>
      <x:c r="C1157" s="45" t="str">
        <x:f t="shared" si="18"/>
        <x:v>ABRIL</x:v>
      </x:c>
      <x:c r="D1157" s="24" t="s">
        <x:v>227</x:v>
      </x:c>
      <x:c r="E1157" s="24" t="s">
        <x:v>704</x:v>
      </x:c>
      <x:c r="F1157" s="24" t="s">
        <x:v>44</x:v>
      </x:c>
      <x:c r="G1157" s="44">
        <x:v>-2771.06</x:v>
      </x:c>
      <x:c r="H1157" s="24" t="s">
        <x:v>82</x:v>
      </x:c>
      <x:c r="I1157" s="24" t="s">
        <x:v>311</x:v>
      </x:c>
      <x:c r="J1157" s="24" t="s">
        <x:v>703</x:v>
      </x:c>
      <x:c r="K1157" s="22" t="s">
        <x:v>11</x:v>
      </x:c>
    </x:row>
    <x:row r="1158" hidden="1">
      <x:c r="A1158" s="24" t="s">
        <x:v>309</x:v>
      </x:c>
      <x:c r="B1158" s="25">
        <x:v>46113</x:v>
      </x:c>
      <x:c r="C1158" s="45" t="str">
        <x:f t="shared" si="18"/>
        <x:v>ABRIL</x:v>
      </x:c>
      <x:c r="D1158" s="24" t="s">
        <x:v>227</x:v>
      </x:c>
      <x:c r="E1158" s="24" t="s">
        <x:v>704</x:v>
      </x:c>
      <x:c r="F1158" s="24" t="s">
        <x:v>65</x:v>
      </x:c>
      <x:c r="G1158" s="44">
        <x:v>-2221.75</x:v>
      </x:c>
      <x:c r="H1158" s="24" t="s">
        <x:v>82</x:v>
      </x:c>
      <x:c r="I1158" s="24" t="s">
        <x:v>311</x:v>
      </x:c>
      <x:c r="J1158" s="24" t="s">
        <x:v>703</x:v>
      </x:c>
      <x:c r="K1158" s="22" t="s">
        <x:v>11</x:v>
      </x:c>
    </x:row>
    <x:row r="1159" hidden="1">
      <x:c r="A1159" s="24" t="s">
        <x:v>705</x:v>
      </x:c>
      <x:c r="B1159" s="25">
        <x:v>46113</x:v>
      </x:c>
      <x:c r="C1159" s="45" t="str">
        <x:f t="shared" si="18"/>
        <x:v>ABRIL</x:v>
      </x:c>
      <x:c r="D1159" s="24" t="s">
        <x:v>89</x:v>
      </x:c>
      <x:c r="E1159" s="24" t="s">
        <x:v>374</x:v>
      </x:c>
      <x:c r="F1159" s="24" t="s">
        <x:v>65</x:v>
      </x:c>
      <x:c r="G1159" s="44">
        <x:v>9994.6</x:v>
      </x:c>
      <x:c r="H1159" s="24" t="s">
        <x:v>91</x:v>
      </x:c>
      <x:c r="I1159" s="24" t="s">
        <x:v>311</x:v>
      </x:c>
      <x:c r="J1159" s="24" t="s">
        <x:v>706</x:v>
      </x:c>
      <x:c r="K1159" s="22" t="s">
        <x:v>11</x:v>
      </x:c>
    </x:row>
    <x:row r="1160" hidden="1">
      <x:c r="A1160" s="24" t="s">
        <x:v>707</x:v>
      </x:c>
      <x:c r="B1160" s="25">
        <x:v>46113</x:v>
      </x:c>
      <x:c r="C1160" s="45" t="str">
        <x:f t="shared" si="18"/>
        <x:v>ABRIL</x:v>
      </x:c>
      <x:c r="D1160" s="24" t="s">
        <x:v>89</x:v>
      </x:c>
      <x:c r="E1160" s="24" t="s">
        <x:v>374</x:v>
      </x:c>
      <x:c r="F1160" s="24" t="s">
        <x:v>66</x:v>
      </x:c>
      <x:c r="G1160" s="44">
        <x:v>10914.2</x:v>
      </x:c>
      <x:c r="H1160" s="24" t="s">
        <x:v>91</x:v>
      </x:c>
      <x:c r="I1160" s="24" t="s">
        <x:v>311</x:v>
      </x:c>
      <x:c r="J1160" s="24" t="s">
        <x:v>706</x:v>
      </x:c>
      <x:c r="K1160" s="22" t="s">
        <x:v>11</x:v>
      </x:c>
    </x:row>
    <x:row r="1161" hidden="1">
      <x:c r="A1161" s="24" t="s">
        <x:v>689</x:v>
      </x:c>
      <x:c r="B1161" s="25">
        <x:v>46113</x:v>
      </x:c>
      <x:c r="C1161" s="45" t="str">
        <x:f t="shared" si="18"/>
        <x:v>ABRIL</x:v>
      </x:c>
      <x:c r="D1161" s="24" t="s">
        <x:v>227</x:v>
      </x:c>
      <x:c r="E1161" s="24" t="s">
        <x:v>517</x:v>
      </x:c>
      <x:c r="F1161" s="24" t="s">
        <x:v>494</x:v>
      </x:c>
      <x:c r="G1161" s="44">
        <x:v>-623.35</x:v>
      </x:c>
      <x:c r="H1161" s="24" t="s">
        <x:v>82</x:v>
      </x:c>
      <x:c r="I1161" s="24" t="s">
        <x:v>311</x:v>
      </x:c>
      <x:c r="J1161" s="24" t="s">
        <x:v>706</x:v>
      </x:c>
      <x:c r="K1161" s="22" t="s">
        <x:v>11</x:v>
      </x:c>
    </x:row>
    <x:row r="1162" hidden="1">
      <x:c r="A1162" s="24" t="s">
        <x:v>415</x:v>
      </x:c>
      <x:c r="B1162" s="25">
        <x:v>46113</x:v>
      </x:c>
      <x:c r="C1162" s="45" t="str">
        <x:f t="shared" si="18"/>
        <x:v>ABRIL</x:v>
      </x:c>
      <x:c r="D1162" s="24" t="s">
        <x:v>107</x:v>
      </x:c>
      <x:c r="E1162" s="24" t="s">
        <x:v>708</x:v>
      </x:c>
      <x:c r="F1162" s="24" t="s">
        <x:v>65</x:v>
      </x:c>
      <x:c r="G1162" s="44">
        <x:v>-27.658000000000001</x:v>
      </x:c>
      <x:c r="H1162" s="24" t="s">
        <x:v>82</x:v>
      </x:c>
      <x:c r="I1162" s="24" t="s">
        <x:v>311</x:v>
      </x:c>
      <x:c r="J1162" s="24" t="s">
        <x:v>703</x:v>
      </x:c>
      <x:c r="K1162" s="22" t="s">
        <x:v>11</x:v>
      </x:c>
    </x:row>
    <x:row r="1163" hidden="1">
      <x:c r="A1163" s="24" t="s">
        <x:v>415</x:v>
      </x:c>
      <x:c r="B1163" s="25">
        <x:v>46113</x:v>
      </x:c>
      <x:c r="C1163" s="45" t="str">
        <x:f t="shared" si="18"/>
        <x:v>ABRIL</x:v>
      </x:c>
      <x:c r="D1163" s="24" t="s">
        <x:v>107</x:v>
      </x:c>
      <x:c r="E1163" s="24" t="s">
        <x:v>708</x:v>
      </x:c>
      <x:c r="F1163" s="24" t="s">
        <x:v>59</x:v>
      </x:c>
      <x:c r="G1163" s="44">
        <x:v>-27.658000000000001</x:v>
      </x:c>
      <x:c r="H1163" s="24" t="s">
        <x:v>82</x:v>
      </x:c>
      <x:c r="I1163" s="24" t="s">
        <x:v>311</x:v>
      </x:c>
      <x:c r="J1163" s="24" t="s">
        <x:v>703</x:v>
      </x:c>
      <x:c r="K1163" s="22" t="s">
        <x:v>11</x:v>
      </x:c>
    </x:row>
    <x:row r="1164" hidden="1">
      <x:c r="A1164" s="24" t="s">
        <x:v>415</x:v>
      </x:c>
      <x:c r="B1164" s="25">
        <x:v>46113</x:v>
      </x:c>
      <x:c r="C1164" s="45" t="str">
        <x:f t="shared" si="18"/>
        <x:v>ABRIL</x:v>
      </x:c>
      <x:c r="D1164" s="24" t="s">
        <x:v>107</x:v>
      </x:c>
      <x:c r="E1164" s="24" t="s">
        <x:v>708</x:v>
      </x:c>
      <x:c r="F1164" s="24" t="s">
        <x:v>66</x:v>
      </x:c>
      <x:c r="G1164" s="44">
        <x:v>-27.658000000000001</x:v>
      </x:c>
      <x:c r="H1164" s="24" t="s">
        <x:v>82</x:v>
      </x:c>
      <x:c r="I1164" s="24" t="s">
        <x:v>311</x:v>
      </x:c>
      <x:c r="J1164" s="24" t="s">
        <x:v>703</x:v>
      </x:c>
      <x:c r="K1164" s="22" t="s">
        <x:v>11</x:v>
      </x:c>
    </x:row>
    <x:row r="1165" hidden="1">
      <x:c r="A1165" s="24" t="s">
        <x:v>415</x:v>
      </x:c>
      <x:c r="B1165" s="25">
        <x:v>46113</x:v>
      </x:c>
      <x:c r="C1165" s="45" t="str">
        <x:f t="shared" si="18"/>
        <x:v>ABRIL</x:v>
      </x:c>
      <x:c r="D1165" s="24" t="s">
        <x:v>107</x:v>
      </x:c>
      <x:c r="E1165" s="24" t="s">
        <x:v>708</x:v>
      </x:c>
      <x:c r="F1165" s="24" t="s">
        <x:v>44</x:v>
      </x:c>
      <x:c r="G1165" s="44">
        <x:v>-27.658000000000001</x:v>
      </x:c>
      <x:c r="H1165" s="24" t="s">
        <x:v>82</x:v>
      </x:c>
      <x:c r="I1165" s="24" t="s">
        <x:v>311</x:v>
      </x:c>
      <x:c r="J1165" s="24" t="s">
        <x:v>703</x:v>
      </x:c>
      <x:c r="K1165" s="22" t="s">
        <x:v>11</x:v>
      </x:c>
    </x:row>
    <x:row r="1166" hidden="1">
      <x:c r="A1166" s="24" t="s">
        <x:v>415</x:v>
      </x:c>
      <x:c r="B1166" s="25">
        <x:v>46113</x:v>
      </x:c>
      <x:c r="C1166" s="45" t="str">
        <x:f t="shared" si="18"/>
        <x:v>ABRIL</x:v>
      </x:c>
      <x:c r="D1166" s="24" t="s">
        <x:v>107</x:v>
      </x:c>
      <x:c r="E1166" s="24" t="s">
        <x:v>708</x:v>
      </x:c>
      <x:c r="F1166" s="24" t="s">
        <x:v>314</x:v>
      </x:c>
      <x:c r="G1166" s="44">
        <x:v>-27.658000000000001</x:v>
      </x:c>
      <x:c r="H1166" s="24" t="s">
        <x:v>82</x:v>
      </x:c>
      <x:c r="I1166" s="24" t="s">
        <x:v>311</x:v>
      </x:c>
      <x:c r="J1166" s="24" t="s">
        <x:v>703</x:v>
      </x:c>
      <x:c r="K1166" s="22" t="s">
        <x:v>11</x:v>
      </x:c>
    </x:row>
    <x:row r="1167" hidden="1">
      <x:c r="A1167" s="24" t="s">
        <x:v>709</x:v>
      </x:c>
      <x:c r="B1167" s="25">
        <x:v>46113</x:v>
      </x:c>
      <x:c r="C1167" s="45" t="str">
        <x:f t="shared" si="18"/>
        <x:v>ABRIL</x:v>
      </x:c>
      <x:c r="D1167" s="24" t="s">
        <x:v>89</x:v>
      </x:c>
      <x:c r="E1167" s="24" t="s">
        <x:v>698</x:v>
      </x:c>
      <x:c r="F1167" s="24" t="s">
        <x:v>44</x:v>
      </x:c>
      <x:c r="G1167" s="44">
        <x:v>14931.4</x:v>
      </x:c>
      <x:c r="H1167" s="24" t="s">
        <x:v>91</x:v>
      </x:c>
      <x:c r="I1167" s="24" t="s">
        <x:v>311</x:v>
      </x:c>
      <x:c r="J1167" s="24" t="s">
        <x:v>710</x:v>
      </x:c>
      <x:c r="K1167" s="22" t="s">
        <x:v>11</x:v>
      </x:c>
    </x:row>
    <x:row r="1168" hidden="1">
      <x:c r="A1168" s="24" t="s">
        <x:v>711</x:v>
      </x:c>
      <x:c r="B1168" s="25">
        <x:v>46113</x:v>
      </x:c>
      <x:c r="C1168" s="45" t="str">
        <x:f t="shared" si="18"/>
        <x:v>ABRIL</x:v>
      </x:c>
      <x:c r="D1168" s="24" t="s">
        <x:v>89</x:v>
      </x:c>
      <x:c r="E1168" s="24" t="s">
        <x:v>712</x:v>
      </x:c>
      <x:c r="F1168" s="24" t="s">
        <x:v>59</x:v>
      </x:c>
      <x:c r="G1168" s="44">
        <x:v>12971.2</x:v>
      </x:c>
      <x:c r="H1168" s="24" t="s">
        <x:v>91</x:v>
      </x:c>
      <x:c r="I1168" s="24" t="s">
        <x:v>311</x:v>
      </x:c>
      <x:c r="J1168" s="24" t="s">
        <x:v>706</x:v>
      </x:c>
      <x:c r="K1168" s="22" t="s">
        <x:v>11</x:v>
      </x:c>
    </x:row>
    <x:row r="1169" hidden="1">
      <x:c r="A1169" s="30" t="s">
        <x:v>112</x:v>
      </x:c>
      <x:c r="B1169" s="25">
        <x:v>46113</x:v>
      </x:c>
      <x:c r="C1169" s="45" t="str">
        <x:f t="shared" si="18"/>
        <x:v>ABRIL</x:v>
      </x:c>
      <x:c r="D1169" s="24" t="s">
        <x:v>112</x:v>
      </x:c>
      <x:c r="E1169" s="24" t="s">
        <x:v>341</x:v>
      </x:c>
      <x:c r="F1169" s="24" t="s">
        <x:v>385</x:v>
      </x:c>
      <x:c r="G1169" s="44">
        <x:v>-3709.16</x:v>
      </x:c>
      <x:c r="H1169" s="24" t="s">
        <x:v>82</x:v>
      </x:c>
      <x:c r="I1169" s="24" t="s">
        <x:v>311</x:v>
      </x:c>
      <x:c r="J1169" s="24" t="s">
        <x:v>710</x:v>
      </x:c>
      <x:c r="K1169" s="22" t="s">
        <x:v>11</x:v>
      </x:c>
    </x:row>
    <x:row r="1170" hidden="1">
      <x:c r="A1170" s="24" t="s">
        <x:v>390</x:v>
      </x:c>
      <x:c r="B1170" s="25">
        <x:v>46113</x:v>
      </x:c>
      <x:c r="C1170" s="45" t="str">
        <x:f t="shared" si="18"/>
        <x:v>ABRIL</x:v>
      </x:c>
      <x:c r="D1170" s="24" t="s">
        <x:v>110</x:v>
      </x:c>
      <x:c r="E1170" s="24" t="s">
        <x:v>391</x:v>
      </x:c>
      <x:c r="F1170" s="24" t="s">
        <x:v>62</x:v>
      </x:c>
      <x:c r="G1170" s="44">
        <x:v>-85.75</x:v>
      </x:c>
      <x:c r="H1170" s="24" t="s">
        <x:v>82</x:v>
      </x:c>
      <x:c r="I1170" s="24" t="s">
        <x:v>311</x:v>
      </x:c>
      <x:c r="J1170" s="24" t="s">
        <x:v>710</x:v>
      </x:c>
      <x:c r="K1170" s="22" t="s">
        <x:v>11</x:v>
      </x:c>
    </x:row>
    <x:row r="1171" hidden="1">
      <x:c r="A1171" s="24" t="s">
        <x:v>390</x:v>
      </x:c>
      <x:c r="B1171" s="25">
        <x:v>46113</x:v>
      </x:c>
      <x:c r="C1171" s="45" t="str">
        <x:f t="shared" si="18"/>
        <x:v>ABRIL</x:v>
      </x:c>
      <x:c r="D1171" s="24" t="s">
        <x:v>110</x:v>
      </x:c>
      <x:c r="E1171" s="24" t="s">
        <x:v>391</x:v>
      </x:c>
      <x:c r="F1171" s="24" t="s">
        <x:v>314</x:v>
      </x:c>
      <x:c r="G1171" s="44">
        <x:v>-5800.65</x:v>
      </x:c>
      <x:c r="H1171" s="24" t="s">
        <x:v>82</x:v>
      </x:c>
      <x:c r="I1171" s="24" t="s">
        <x:v>311</x:v>
      </x:c>
      <x:c r="J1171" s="24" t="s">
        <x:v>710</x:v>
      </x:c>
      <x:c r="K1171" s="22" t="s">
        <x:v>11</x:v>
      </x:c>
    </x:row>
    <x:row r="1172" hidden="1">
      <x:c r="A1172" s="24" t="s">
        <x:v>390</x:v>
      </x:c>
      <x:c r="B1172" s="25">
        <x:v>46113</x:v>
      </x:c>
      <x:c r="C1172" s="45" t="str">
        <x:f t="shared" si="18"/>
        <x:v>ABRIL</x:v>
      </x:c>
      <x:c r="D1172" s="24" t="s">
        <x:v>110</x:v>
      </x:c>
      <x:c r="E1172" s="24" t="s">
        <x:v>391</x:v>
      </x:c>
      <x:c r="F1172" s="24" t="s">
        <x:v>59</x:v>
      </x:c>
      <x:c r="G1172" s="44">
        <x:v>-15493.91</x:v>
      </x:c>
      <x:c r="H1172" s="24" t="s">
        <x:v>82</x:v>
      </x:c>
      <x:c r="I1172" s="24" t="s">
        <x:v>311</x:v>
      </x:c>
      <x:c r="J1172" s="24" t="s">
        <x:v>710</x:v>
      </x:c>
      <x:c r="K1172" s="22" t="s">
        <x:v>11</x:v>
      </x:c>
    </x:row>
    <x:row r="1173" hidden="1">
      <x:c r="A1173" s="24" t="s">
        <x:v>390</x:v>
      </x:c>
      <x:c r="B1173" s="25">
        <x:v>46113</x:v>
      </x:c>
      <x:c r="C1173" s="45" t="str">
        <x:f t="shared" si="18"/>
        <x:v>ABRIL</x:v>
      </x:c>
      <x:c r="D1173" s="24" t="s">
        <x:v>110</x:v>
      </x:c>
      <x:c r="E1173" s="24" t="s">
        <x:v>391</x:v>
      </x:c>
      <x:c r="F1173" s="24" t="s">
        <x:v>44</x:v>
      </x:c>
      <x:c r="G1173" s="44">
        <x:v>-14350.7</x:v>
      </x:c>
      <x:c r="H1173" s="24" t="s">
        <x:v>82</x:v>
      </x:c>
      <x:c r="I1173" s="24" t="s">
        <x:v>311</x:v>
      </x:c>
      <x:c r="J1173" s="24" t="s">
        <x:v>710</x:v>
      </x:c>
      <x:c r="K1173" s="22" t="s">
        <x:v>11</x:v>
      </x:c>
    </x:row>
    <x:row r="1174" hidden="1">
      <x:c r="A1174" s="24" t="s">
        <x:v>390</x:v>
      </x:c>
      <x:c r="B1174" s="25">
        <x:v>46113</x:v>
      </x:c>
      <x:c r="C1174" s="45" t="str">
        <x:f t="shared" si="18"/>
        <x:v>ABRIL</x:v>
      </x:c>
      <x:c r="D1174" s="24" t="s">
        <x:v>110</x:v>
      </x:c>
      <x:c r="E1174" s="24" t="s">
        <x:v>391</x:v>
      </x:c>
      <x:c r="F1174" s="24" t="s">
        <x:v>65</x:v>
      </x:c>
      <x:c r="G1174" s="44">
        <x:v>-13099.71</x:v>
      </x:c>
      <x:c r="H1174" s="24" t="s">
        <x:v>82</x:v>
      </x:c>
      <x:c r="I1174" s="24" t="s">
        <x:v>311</x:v>
      </x:c>
      <x:c r="J1174" s="24" t="s">
        <x:v>710</x:v>
      </x:c>
      <x:c r="K1174" s="22" t="s">
        <x:v>11</x:v>
      </x:c>
    </x:row>
    <x:row r="1175" hidden="1">
      <x:c r="A1175" s="24" t="s">
        <x:v>390</x:v>
      </x:c>
      <x:c r="B1175" s="25">
        <x:v>46113</x:v>
      </x:c>
      <x:c r="C1175" s="45" t="str">
        <x:f t="shared" si="18"/>
        <x:v>ABRIL</x:v>
      </x:c>
      <x:c r="D1175" s="24" t="s">
        <x:v>110</x:v>
      </x:c>
      <x:c r="E1175" s="24" t="s">
        <x:v>391</x:v>
      </x:c>
      <x:c r="F1175" s="24" t="s">
        <x:v>66</x:v>
      </x:c>
      <x:c r="G1175" s="44">
        <x:v>-11230.86</x:v>
      </x:c>
      <x:c r="H1175" s="24" t="s">
        <x:v>82</x:v>
      </x:c>
      <x:c r="I1175" s="24" t="s">
        <x:v>311</x:v>
      </x:c>
      <x:c r="J1175" s="24" t="s">
        <x:v>710</x:v>
      </x:c>
      <x:c r="K1175" s="22" t="s">
        <x:v>11</x:v>
      </x:c>
    </x:row>
    <x:row r="1176" hidden="1">
      <x:c r="A1176" s="24" t="s">
        <x:v>713</x:v>
      </x:c>
      <x:c r="B1176" s="25">
        <x:v>46113</x:v>
      </x:c>
      <x:c r="C1176" s="45" t="str">
        <x:f t="shared" si="18"/>
        <x:v>ABRIL</x:v>
      </x:c>
      <x:c r="D1176" s="24" t="s">
        <x:v>89</x:v>
      </x:c>
      <x:c r="E1176" s="24" t="s">
        <x:v>526</x:v>
      </x:c>
      <x:c r="F1176" s="24" t="s">
        <x:v>59</x:v>
      </x:c>
      <x:c r="G1176" s="44">
        <x:v>13794</x:v>
      </x:c>
      <x:c r="H1176" s="24" t="s">
        <x:v>91</x:v>
      </x:c>
      <x:c r="I1176" s="24" t="s">
        <x:v>311</x:v>
      </x:c>
      <x:c r="J1176" s="24" t="s">
        <x:v>714</x:v>
      </x:c>
      <x:c r="K1176" s="22" t="s">
        <x:v>11</x:v>
      </x:c>
    </x:row>
    <x:row r="1177" hidden="1">
      <x:c r="A1177" s="24" t="s">
        <x:v>715</x:v>
      </x:c>
      <x:c r="B1177" s="25">
        <x:v>46113</x:v>
      </x:c>
      <x:c r="C1177" s="45" t="str">
        <x:f t="shared" si="18"/>
        <x:v>ABRIL</x:v>
      </x:c>
      <x:c r="D1177" s="24" t="s">
        <x:v>89</x:v>
      </x:c>
      <x:c r="E1177" s="24" t="s">
        <x:v>681</x:v>
      </x:c>
      <x:c r="F1177" s="24" t="s">
        <x:v>66</x:v>
      </x:c>
      <x:c r="G1177" s="44">
        <x:v>10890</x:v>
      </x:c>
      <x:c r="H1177" s="24" t="s">
        <x:v>91</x:v>
      </x:c>
      <x:c r="I1177" s="24" t="s">
        <x:v>311</x:v>
      </x:c>
      <x:c r="J1177" s="24" t="s">
        <x:v>710</x:v>
      </x:c>
      <x:c r="K1177" s="22" t="s">
        <x:v>11</x:v>
      </x:c>
    </x:row>
    <x:row r="1178" hidden="1">
      <x:c r="A1178" s="24" t="s">
        <x:v>325</x:v>
      </x:c>
      <x:c r="B1178" s="25">
        <x:v>46113</x:v>
      </x:c>
      <x:c r="C1178" s="45" t="str">
        <x:f t="shared" si="18"/>
        <x:v>ABRIL</x:v>
      </x:c>
      <x:c r="D1178" s="24" t="s">
        <x:v>227</x:v>
      </x:c>
      <x:c r="E1178" s="24" t="s">
        <x:v>170</x:v>
      </x:c>
      <x:c r="F1178" s="24" t="s">
        <x:v>65</x:v>
      </x:c>
      <x:c r="G1178" s="44">
        <x:v>-644.32000000000005</x:v>
      </x:c>
      <x:c r="H1178" s="24" t="s">
        <x:v>82</x:v>
      </x:c>
      <x:c r="I1178" s="24" t="s">
        <x:v>311</x:v>
      </x:c>
      <x:c r="J1178" s="27" t="s">
        <x:v>714</x:v>
      </x:c>
      <x:c r="K1178" s="22" t="s">
        <x:v>11</x:v>
      </x:c>
    </x:row>
    <x:row r="1179" hidden="1">
      <x:c r="A1179" s="24" t="s">
        <x:v>325</x:v>
      </x:c>
      <x:c r="B1179" s="25">
        <x:v>46113</x:v>
      </x:c>
      <x:c r="C1179" s="45" t="str">
        <x:f t="shared" si="18"/>
        <x:v>ABRIL</x:v>
      </x:c>
      <x:c r="D1179" s="24" t="s">
        <x:v>227</x:v>
      </x:c>
      <x:c r="E1179" s="24" t="s">
        <x:v>693</x:v>
      </x:c>
      <x:c r="F1179" s="24" t="s">
        <x:v>314</x:v>
      </x:c>
      <x:c r="G1179" s="44">
        <x:v>-400</x:v>
      </x:c>
      <x:c r="H1179" s="24" t="s">
        <x:v>82</x:v>
      </x:c>
      <x:c r="I1179" s="24" t="s">
        <x:v>311</x:v>
      </x:c>
      <x:c r="J1179" s="24" t="s">
        <x:v>714</x:v>
      </x:c>
      <x:c r="K1179" s="22" t="s">
        <x:v>11</x:v>
      </x:c>
    </x:row>
    <x:row r="1180" hidden="1">
      <x:c r="A1180" s="24" t="s">
        <x:v>716</x:v>
      </x:c>
      <x:c r="B1180" s="25">
        <x:v>46113</x:v>
      </x:c>
      <x:c r="C1180" s="45" t="str">
        <x:f t="shared" si="18"/>
        <x:v>ABRIL</x:v>
      </x:c>
      <x:c r="D1180" s="24" t="s">
        <x:v>89</x:v>
      </x:c>
      <x:c r="E1180" s="24" t="s">
        <x:v>717</x:v>
      </x:c>
      <x:c r="F1180" s="24" t="s">
        <x:v>65</x:v>
      </x:c>
      <x:c r="G1180" s="44">
        <x:v>11495</x:v>
      </x:c>
      <x:c r="H1180" s="24" t="s">
        <x:v>91</x:v>
      </x:c>
      <x:c r="I1180" s="24" t="s">
        <x:v>311</x:v>
      </x:c>
      <x:c r="J1180" s="24" t="s">
        <x:v>718</x:v>
      </x:c>
      <x:c r="K1180" s="22" t="s">
        <x:v>11</x:v>
      </x:c>
    </x:row>
    <x:row r="1181" hidden="1">
      <x:c r="A1181" s="24" t="s">
        <x:v>357</x:v>
      </x:c>
      <x:c r="B1181" s="25">
        <x:v>46113</x:v>
      </x:c>
      <x:c r="C1181" s="45" t="str">
        <x:f t="shared" si="18"/>
        <x:v>ABRIL</x:v>
      </x:c>
      <x:c r="D1181" s="24" t="s">
        <x:v>227</x:v>
      </x:c>
      <x:c r="E1181" s="24" t="s">
        <x:v>186</x:v>
      </x:c>
      <x:c r="F1181" s="24" t="s">
        <x:v>314</x:v>
      </x:c>
      <x:c r="G1181" s="44">
        <x:v>-1288.06</x:v>
      </x:c>
      <x:c r="H1181" s="24" t="s">
        <x:v>82</x:v>
      </x:c>
      <x:c r="I1181" s="24" t="s">
        <x:v>311</x:v>
      </x:c>
      <x:c r="J1181" s="24" t="s">
        <x:v>718</x:v>
      </x:c>
      <x:c r="K1181" s="22" t="s">
        <x:v>11</x:v>
      </x:c>
    </x:row>
    <x:row r="1182" hidden="1">
      <x:c r="A1182" s="24" t="s">
        <x:v>325</x:v>
      </x:c>
      <x:c r="B1182" s="25">
        <x:v>46113</x:v>
      </x:c>
      <x:c r="C1182" s="45" t="str">
        <x:f t="shared" si="18"/>
        <x:v>ABRIL</x:v>
      </x:c>
      <x:c r="D1182" s="24" t="s">
        <x:v>227</x:v>
      </x:c>
      <x:c r="E1182" s="24" t="s">
        <x:v>186</x:v>
      </x:c>
      <x:c r="F1182" s="24" t="s">
        <x:v>314</x:v>
      </x:c>
      <x:c r="G1182" s="44">
        <x:v>-493.49</x:v>
      </x:c>
      <x:c r="H1182" s="24" t="s">
        <x:v>82</x:v>
      </x:c>
      <x:c r="I1182" s="24" t="s">
        <x:v>311</x:v>
      </x:c>
      <x:c r="J1182" s="24" t="s">
        <x:v>718</x:v>
      </x:c>
      <x:c r="K1182" s="22" t="s">
        <x:v>11</x:v>
      </x:c>
    </x:row>
    <x:row r="1183" hidden="1">
      <x:c r="A1183" s="24" t="s">
        <x:v>357</x:v>
      </x:c>
      <x:c r="B1183" s="25">
        <x:v>46113</x:v>
      </x:c>
      <x:c r="C1183" s="45" t="str">
        <x:f t="shared" si="18"/>
        <x:v>ABRIL</x:v>
      </x:c>
      <x:c r="D1183" s="24" t="s">
        <x:v>227</x:v>
      </x:c>
      <x:c r="E1183" s="24" t="s">
        <x:v>186</x:v>
      </x:c>
      <x:c r="F1183" s="24" t="s">
        <x:v>314</x:v>
      </x:c>
      <x:c r="G1183" s="44">
        <x:v>-194.54</x:v>
      </x:c>
      <x:c r="H1183" s="24" t="s">
        <x:v>82</x:v>
      </x:c>
      <x:c r="I1183" s="24" t="s">
        <x:v>311</x:v>
      </x:c>
      <x:c r="J1183" s="24" t="s">
        <x:v>718</x:v>
      </x:c>
      <x:c r="K1183" s="22" t="s">
        <x:v>11</x:v>
      </x:c>
    </x:row>
    <x:row r="1184" hidden="1">
      <x:c r="A1184" s="24" t="s">
        <x:v>337</x:v>
      </x:c>
      <x:c r="B1184" s="25">
        <x:v>46113</x:v>
      </x:c>
      <x:c r="C1184" s="45" t="str">
        <x:f t="shared" si="18"/>
        <x:v>ABRIL</x:v>
      </x:c>
      <x:c r="D1184" s="24" t="s">
        <x:v>227</x:v>
      </x:c>
      <x:c r="E1184" s="24" t="s">
        <x:v>170</x:v>
      </x:c>
      <x:c r="F1184" s="24" t="s">
        <x:v>59</x:v>
      </x:c>
      <x:c r="G1184" s="44">
        <x:v>-3714.23</x:v>
      </x:c>
      <x:c r="H1184" s="24" t="s">
        <x:v>82</x:v>
      </x:c>
      <x:c r="I1184" s="24" t="s">
        <x:v>311</x:v>
      </x:c>
      <x:c r="J1184" s="24" t="s">
        <x:v>718</x:v>
      </x:c>
      <x:c r="K1184" s="22" t="s">
        <x:v>11</x:v>
      </x:c>
    </x:row>
    <x:row r="1185" hidden="1">
      <x:c r="A1185" s="24" t="s">
        <x:v>337</x:v>
      </x:c>
      <x:c r="B1185" s="25">
        <x:v>46113</x:v>
      </x:c>
      <x:c r="C1185" s="45" t="str">
        <x:f t="shared" si="18"/>
        <x:v>ABRIL</x:v>
      </x:c>
      <x:c r="D1185" s="24" t="s">
        <x:v>227</x:v>
      </x:c>
      <x:c r="E1185" s="24" t="s">
        <x:v>170</x:v>
      </x:c>
      <x:c r="F1185" s="24" t="s">
        <x:v>314</x:v>
      </x:c>
      <x:c r="G1185" s="44">
        <x:v>-1696.96</x:v>
      </x:c>
      <x:c r="H1185" s="24" t="s">
        <x:v>82</x:v>
      </x:c>
      <x:c r="I1185" s="24" t="s">
        <x:v>311</x:v>
      </x:c>
      <x:c r="J1185" s="24" t="s">
        <x:v>718</x:v>
      </x:c>
      <x:c r="K1185" s="22" t="s">
        <x:v>11</x:v>
      </x:c>
    </x:row>
    <x:row r="1186" hidden="1">
      <x:c r="A1186" s="30" t="s">
        <x:v>112</x:v>
      </x:c>
      <x:c r="B1186" s="25">
        <x:v>46113</x:v>
      </x:c>
      <x:c r="C1186" s="45" t="str">
        <x:f t="shared" si="18"/>
        <x:v>ABRIL</x:v>
      </x:c>
      <x:c r="D1186" s="24" t="s">
        <x:v>112</x:v>
      </x:c>
      <x:c r="E1186" s="24" t="s">
        <x:v>660</x:v>
      </x:c>
      <x:c r="F1186" s="24" t="s">
        <x:v>66</x:v>
      </x:c>
      <x:c r="G1186" s="44">
        <x:v>-21727.99</x:v>
      </x:c>
      <x:c r="H1186" s="24" t="s">
        <x:v>82</x:v>
      </x:c>
      <x:c r="I1186" s="24" t="s">
        <x:v>311</x:v>
      </x:c>
      <x:c r="J1186" s="24" t="s">
        <x:v>718</x:v>
      </x:c>
      <x:c r="K1186" s="22" t="s">
        <x:v>11</x:v>
      </x:c>
    </x:row>
    <x:row r="1187" hidden="1">
      <x:c r="A1187" s="24" t="s">
        <x:v>487</x:v>
      </x:c>
      <x:c r="B1187" s="25">
        <x:v>46113</x:v>
      </x:c>
      <x:c r="C1187" s="45" t="str">
        <x:f t="shared" si="18"/>
        <x:v>ABRIL</x:v>
      </x:c>
      <x:c r="D1187" s="24" t="s">
        <x:v>227</x:v>
      </x:c>
      <x:c r="E1187" s="24" t="s">
        <x:v>517</x:v>
      </x:c>
      <x:c r="F1187" s="24" t="s">
        <x:v>44</x:v>
      </x:c>
      <x:c r="G1187" s="44">
        <x:v>-439.95</x:v>
      </x:c>
      <x:c r="H1187" s="24" t="s">
        <x:v>82</x:v>
      </x:c>
      <x:c r="I1187" s="24" t="s">
        <x:v>311</x:v>
      </x:c>
      <x:c r="J1187" s="24" t="s">
        <x:v>718</x:v>
      </x:c>
      <x:c r="K1187" s="22" t="s">
        <x:v>11</x:v>
      </x:c>
    </x:row>
    <x:row r="1188" hidden="1">
      <x:c r="A1188" s="24" t="s">
        <x:v>325</x:v>
      </x:c>
      <x:c r="B1188" s="25">
        <x:v>46113</x:v>
      </x:c>
      <x:c r="C1188" s="45" t="str">
        <x:f t="shared" si="18"/>
        <x:v>ABRIL</x:v>
      </x:c>
      <x:c r="D1188" s="24" t="s">
        <x:v>227</x:v>
      </x:c>
      <x:c r="E1188" s="24" t="s">
        <x:v>690</x:v>
      </x:c>
      <x:c r="F1188" s="24" t="s">
        <x:v>62</x:v>
      </x:c>
      <x:c r="G1188" s="44">
        <x:v>-3250</x:v>
      </x:c>
      <x:c r="H1188" s="24" t="s">
        <x:v>82</x:v>
      </x:c>
      <x:c r="I1188" s="24" t="s">
        <x:v>311</x:v>
      </x:c>
      <x:c r="J1188" s="24" t="s">
        <x:v>714</x:v>
      </x:c>
      <x:c r="K1188" s="22" t="s">
        <x:v>11</x:v>
      </x:c>
    </x:row>
    <x:row r="1189" hidden="1">
      <x:c r="A1189" s="24" t="s">
        <x:v>309</x:v>
      </x:c>
      <x:c r="B1189" s="25">
        <x:v>46113</x:v>
      </x:c>
      <x:c r="C1189" s="45" t="str">
        <x:f t="shared" si="18"/>
        <x:v>ABRIL</x:v>
      </x:c>
      <x:c r="D1189" s="24" t="s">
        <x:v>227</x:v>
      </x:c>
      <x:c r="E1189" s="24" t="s">
        <x:v>666</x:v>
      </x:c>
      <x:c r="F1189" s="24" t="s">
        <x:v>65</x:v>
      </x:c>
      <x:c r="G1189" s="44">
        <x:v>-7122.9920000000002</x:v>
      </x:c>
      <x:c r="H1189" s="24" t="s">
        <x:v>82</x:v>
      </x:c>
      <x:c r="I1189" s="24" t="s">
        <x:v>311</x:v>
      </x:c>
      <x:c r="J1189" s="24" t="s">
        <x:v>718</x:v>
      </x:c>
      <x:c r="K1189" s="22" t="s">
        <x:v>11</x:v>
      </x:c>
    </x:row>
    <x:row r="1190" hidden="1">
      <x:c r="A1190" s="24" t="s">
        <x:v>309</x:v>
      </x:c>
      <x:c r="B1190" s="25">
        <x:v>46113</x:v>
      </x:c>
      <x:c r="C1190" s="45" t="str">
        <x:f t="shared" si="18"/>
        <x:v>ABRIL</x:v>
      </x:c>
      <x:c r="D1190" s="24" t="s">
        <x:v>227</x:v>
      </x:c>
      <x:c r="E1190" s="24" t="s">
        <x:v>666</x:v>
      </x:c>
      <x:c r="F1190" s="24" t="s">
        <x:v>59</x:v>
      </x:c>
      <x:c r="G1190" s="44">
        <x:v>-7122.9920000000002</x:v>
      </x:c>
      <x:c r="H1190" s="24" t="s">
        <x:v>82</x:v>
      </x:c>
      <x:c r="I1190" s="24" t="s">
        <x:v>311</x:v>
      </x:c>
      <x:c r="J1190" s="24" t="s">
        <x:v>718</x:v>
      </x:c>
      <x:c r="K1190" s="22" t="s">
        <x:v>11</x:v>
      </x:c>
    </x:row>
    <x:row r="1191" hidden="1">
      <x:c r="A1191" s="24" t="s">
        <x:v>309</x:v>
      </x:c>
      <x:c r="B1191" s="25">
        <x:v>46113</x:v>
      </x:c>
      <x:c r="C1191" s="45" t="str">
        <x:f t="shared" si="18"/>
        <x:v>ABRIL</x:v>
      </x:c>
      <x:c r="D1191" s="24" t="s">
        <x:v>227</x:v>
      </x:c>
      <x:c r="E1191" s="24" t="s">
        <x:v>666</x:v>
      </x:c>
      <x:c r="F1191" s="24" t="s">
        <x:v>66</x:v>
      </x:c>
      <x:c r="G1191" s="44">
        <x:v>-7122.9920000000002</x:v>
      </x:c>
      <x:c r="H1191" s="24" t="s">
        <x:v>82</x:v>
      </x:c>
      <x:c r="I1191" s="24" t="s">
        <x:v>311</x:v>
      </x:c>
      <x:c r="J1191" s="24" t="s">
        <x:v>718</x:v>
      </x:c>
      <x:c r="K1191" s="22" t="s">
        <x:v>11</x:v>
      </x:c>
    </x:row>
    <x:row r="1192" hidden="1">
      <x:c r="A1192" s="24" t="s">
        <x:v>309</x:v>
      </x:c>
      <x:c r="B1192" s="25">
        <x:v>46113</x:v>
      </x:c>
      <x:c r="C1192" s="45" t="str">
        <x:f t="shared" si="18"/>
        <x:v>ABRIL</x:v>
      </x:c>
      <x:c r="D1192" s="24" t="s">
        <x:v>227</x:v>
      </x:c>
      <x:c r="E1192" s="24" t="s">
        <x:v>666</x:v>
      </x:c>
      <x:c r="F1192" s="24" t="s">
        <x:v>44</x:v>
      </x:c>
      <x:c r="G1192" s="44">
        <x:v>-7122.9920000000002</x:v>
      </x:c>
      <x:c r="H1192" s="24" t="s">
        <x:v>82</x:v>
      </x:c>
      <x:c r="I1192" s="24" t="s">
        <x:v>311</x:v>
      </x:c>
      <x:c r="J1192" s="24" t="s">
        <x:v>718</x:v>
      </x:c>
      <x:c r="K1192" s="22" t="s">
        <x:v>11</x:v>
      </x:c>
    </x:row>
    <x:row r="1193" hidden="1">
      <x:c r="A1193" s="24" t="s">
        <x:v>309</x:v>
      </x:c>
      <x:c r="B1193" s="25">
        <x:v>46113</x:v>
      </x:c>
      <x:c r="C1193" s="45" t="str">
        <x:f t="shared" si="18"/>
        <x:v>ABRIL</x:v>
      </x:c>
      <x:c r="D1193" s="24" t="s">
        <x:v>227</x:v>
      </x:c>
      <x:c r="E1193" s="24" t="s">
        <x:v>666</x:v>
      </x:c>
      <x:c r="F1193" s="24" t="s">
        <x:v>314</x:v>
      </x:c>
      <x:c r="G1193" s="44">
        <x:v>-7122.9920000000002</x:v>
      </x:c>
      <x:c r="H1193" s="24" t="s">
        <x:v>82</x:v>
      </x:c>
      <x:c r="I1193" s="24" t="s">
        <x:v>311</x:v>
      </x:c>
      <x:c r="J1193" s="24" t="s">
        <x:v>718</x:v>
      </x:c>
      <x:c r="K1193" s="22" t="s">
        <x:v>11</x:v>
      </x:c>
    </x:row>
    <x:row r="1194" hidden="1">
      <x:c r="A1194" s="24" t="s">
        <x:v>325</x:v>
      </x:c>
      <x:c r="B1194" s="25">
        <x:v>46113</x:v>
      </x:c>
      <x:c r="C1194" s="45" t="str">
        <x:f t="shared" si="18"/>
        <x:v>ABRIL</x:v>
      </x:c>
      <x:c r="D1194" s="24" t="s">
        <x:v>227</x:v>
      </x:c>
      <x:c r="E1194" s="24" t="s">
        <x:v>24</x:v>
      </x:c>
      <x:c r="F1194" s="24" t="s">
        <x:v>66</x:v>
      </x:c>
      <x:c r="G1194" s="44">
        <x:v>-70</x:v>
      </x:c>
      <x:c r="H1194" s="24" t="s">
        <x:v>82</x:v>
      </x:c>
      <x:c r="I1194" s="24" t="s">
        <x:v>311</x:v>
      </x:c>
      <x:c r="J1194" s="24" t="s">
        <x:v>719</x:v>
      </x:c>
      <x:c r="K1194" s="22" t="s">
        <x:v>11</x:v>
      </x:c>
    </x:row>
    <x:row r="1195" hidden="1">
      <x:c r="A1195" s="24" t="s">
        <x:v>354</x:v>
      </x:c>
      <x:c r="B1195" s="25">
        <x:v>46113</x:v>
      </x:c>
      <x:c r="C1195" s="45" t="str">
        <x:f t="shared" si="18"/>
        <x:v>ABRIL</x:v>
      </x:c>
      <x:c r="D1195" s="24" t="s">
        <x:v>227</x:v>
      </x:c>
      <x:c r="E1195" s="24" t="s">
        <x:v>186</x:v>
      </x:c>
      <x:c r="F1195" s="24" t="s">
        <x:v>314</x:v>
      </x:c>
      <x:c r="G1195" s="44">
        <x:v>-955.31</x:v>
      </x:c>
      <x:c r="H1195" s="24" t="s">
        <x:v>82</x:v>
      </x:c>
      <x:c r="I1195" s="24" t="s">
        <x:v>311</x:v>
      </x:c>
      <x:c r="J1195" s="24" t="s">
        <x:v>719</x:v>
      </x:c>
      <x:c r="K1195" s="22" t="s">
        <x:v>11</x:v>
      </x:c>
    </x:row>
    <x:row r="1196" hidden="1">
      <x:c r="A1196" s="24" t="s">
        <x:v>357</x:v>
      </x:c>
      <x:c r="B1196" s="25">
        <x:v>46113</x:v>
      </x:c>
      <x:c r="C1196" s="45" t="str">
        <x:f t="shared" si="18"/>
        <x:v>ABRIL</x:v>
      </x:c>
      <x:c r="D1196" s="24" t="s">
        <x:v>227</x:v>
      </x:c>
      <x:c r="E1196" s="24" t="s">
        <x:v>186</x:v>
      </x:c>
      <x:c r="F1196" s="24" t="s">
        <x:v>314</x:v>
      </x:c>
      <x:c r="G1196" s="44">
        <x:v>-2210.1999999999998</x:v>
      </x:c>
      <x:c r="H1196" s="24" t="s">
        <x:v>82</x:v>
      </x:c>
      <x:c r="I1196" s="24" t="s">
        <x:v>311</x:v>
      </x:c>
      <x:c r="J1196" s="24" t="s">
        <x:v>720</x:v>
      </x:c>
      <x:c r="K1196" s="22" t="s">
        <x:v>11</x:v>
      </x:c>
    </x:row>
    <x:row r="1197" hidden="1">
      <x:c r="A1197" s="24" t="s">
        <x:v>357</x:v>
      </x:c>
      <x:c r="B1197" s="25">
        <x:v>46113</x:v>
      </x:c>
      <x:c r="C1197" s="45" t="str">
        <x:f t="shared" si="18"/>
        <x:v>ABRIL</x:v>
      </x:c>
      <x:c r="D1197" s="24" t="s">
        <x:v>227</x:v>
      </x:c>
      <x:c r="E1197" s="24" t="s">
        <x:v>23</x:v>
      </x:c>
      <x:c r="F1197" s="24" t="s">
        <x:v>65</x:v>
      </x:c>
      <x:c r="G1197" s="44">
        <x:v>-159</x:v>
      </x:c>
      <x:c r="H1197" s="24" t="s">
        <x:v>82</x:v>
      </x:c>
      <x:c r="I1197" s="24" t="s">
        <x:v>311</x:v>
      </x:c>
      <x:c r="J1197" s="24" t="s">
        <x:v>721</x:v>
      </x:c>
      <x:c r="K1197" s="22" t="s">
        <x:v>11</x:v>
      </x:c>
    </x:row>
    <x:row r="1198" hidden="1">
      <x:c r="A1198" s="24" t="s">
        <x:v>722</x:v>
      </x:c>
      <x:c r="B1198" s="25">
        <x:v>46113</x:v>
      </x:c>
      <x:c r="C1198" s="45" t="str">
        <x:f t="shared" si="18"/>
        <x:v>ABRIL</x:v>
      </x:c>
      <x:c r="D1198" s="24" t="s">
        <x:v>89</x:v>
      </x:c>
      <x:c r="E1198" s="24" t="s">
        <x:v>526</x:v>
      </x:c>
      <x:c r="F1198" s="24" t="s">
        <x:v>66</x:v>
      </x:c>
      <x:c r="G1198" s="44">
        <x:v>10018.799999999999</x:v>
      </x:c>
      <x:c r="H1198" s="24" t="s">
        <x:v>91</x:v>
      </x:c>
      <x:c r="I1198" s="24" t="s">
        <x:v>311</x:v>
      </x:c>
      <x:c r="J1198" s="24" t="s">
        <x:v>719</x:v>
      </x:c>
      <x:c r="K1198" s="22" t="s">
        <x:v>11</x:v>
      </x:c>
    </x:row>
    <x:row r="1199" hidden="1">
      <x:c r="A1199" s="24" t="s">
        <x:v>723</x:v>
      </x:c>
      <x:c r="B1199" s="25">
        <x:v>46113</x:v>
      </x:c>
      <x:c r="C1199" s="45" t="str">
        <x:f t="shared" si="18"/>
        <x:v>ABRIL</x:v>
      </x:c>
      <x:c r="D1199" s="24" t="s">
        <x:v>89</x:v>
      </x:c>
      <x:c r="E1199" s="24" t="s">
        <x:v>670</x:v>
      </x:c>
      <x:c r="F1199" s="24" t="s">
        <x:v>59</x:v>
      </x:c>
      <x:c r="G1199" s="44">
        <x:v>13576.2</x:v>
      </x:c>
      <x:c r="H1199" s="24" t="s">
        <x:v>91</x:v>
      </x:c>
      <x:c r="I1199" s="24" t="s">
        <x:v>311</x:v>
      </x:c>
      <x:c r="J1199" s="24" t="s">
        <x:v>724</x:v>
      </x:c>
      <x:c r="K1199" s="22" t="s">
        <x:v>11</x:v>
      </x:c>
    </x:row>
    <x:row r="1200" hidden="1">
      <x:c r="A1200" s="24" t="s">
        <x:v>337</x:v>
      </x:c>
      <x:c r="B1200" s="25">
        <x:v>46113</x:v>
      </x:c>
      <x:c r="C1200" s="45" t="str">
        <x:f t="shared" si="18"/>
        <x:v>ABRIL</x:v>
      </x:c>
      <x:c r="D1200" s="24" t="s">
        <x:v>227</x:v>
      </x:c>
      <x:c r="E1200" s="24" t="s">
        <x:v>338</x:v>
      </x:c>
      <x:c r="F1200" s="24" t="s">
        <x:v>66</x:v>
      </x:c>
      <x:c r="G1200" s="44">
        <x:v>-1416</x:v>
      </x:c>
      <x:c r="H1200" s="24" t="s">
        <x:v>82</x:v>
      </x:c>
      <x:c r="I1200" s="24" t="s">
        <x:v>311</x:v>
      </x:c>
      <x:c r="J1200" s="24" t="s">
        <x:v>703</x:v>
      </x:c>
      <x:c r="K1200" s="22" t="s">
        <x:v>11</x:v>
      </x:c>
    </x:row>
    <x:row r="1201" hidden="1">
      <x:c r="A1201" s="24" t="s">
        <x:v>337</x:v>
      </x:c>
      <x:c r="B1201" s="25">
        <x:v>46113</x:v>
      </x:c>
      <x:c r="C1201" s="45" t="str">
        <x:f t="shared" si="18"/>
        <x:v>ABRIL</x:v>
      </x:c>
      <x:c r="D1201" s="24" t="s">
        <x:v>227</x:v>
      </x:c>
      <x:c r="E1201" s="24" t="s">
        <x:v>338</x:v>
      </x:c>
      <x:c r="F1201" s="24" t="s">
        <x:v>65</x:v>
      </x:c>
      <x:c r="G1201" s="44">
        <x:v>-1699.02</x:v>
      </x:c>
      <x:c r="H1201" s="24" t="s">
        <x:v>82</x:v>
      </x:c>
      <x:c r="I1201" s="24" t="s">
        <x:v>311</x:v>
      </x:c>
      <x:c r="J1201" s="24" t="s">
        <x:v>703</x:v>
      </x:c>
      <x:c r="K1201" s="22" t="s">
        <x:v>11</x:v>
      </x:c>
    </x:row>
    <x:row r="1202" hidden="1">
      <x:c r="A1202" s="24" t="s">
        <x:v>309</x:v>
      </x:c>
      <x:c r="B1202" s="25">
        <x:v>46113</x:v>
      </x:c>
      <x:c r="C1202" s="45" t="str">
        <x:f t="shared" si="18"/>
        <x:v>ABRIL</x:v>
      </x:c>
      <x:c r="D1202" s="24" t="s">
        <x:v>227</x:v>
      </x:c>
      <x:c r="E1202" s="24" t="s">
        <x:v>704</x:v>
      </x:c>
      <x:c r="F1202" s="24" t="s">
        <x:v>59</x:v>
      </x:c>
      <x:c r="G1202" s="44">
        <x:v>-8521.68</x:v>
      </x:c>
      <x:c r="H1202" s="24" t="s">
        <x:v>82</x:v>
      </x:c>
      <x:c r="I1202" s="24" t="s">
        <x:v>311</x:v>
      </x:c>
      <x:c r="J1202" s="24" t="s">
        <x:v>720</x:v>
      </x:c>
      <x:c r="K1202" s="22" t="s">
        <x:v>11</x:v>
      </x:c>
    </x:row>
    <x:row r="1203" hidden="1">
      <x:c r="A1203" s="24" t="s">
        <x:v>309</x:v>
      </x:c>
      <x:c r="B1203" s="25">
        <x:v>46113</x:v>
      </x:c>
      <x:c r="C1203" s="45" t="str">
        <x:f t="shared" si="18"/>
        <x:v>ABRIL</x:v>
      </x:c>
      <x:c r="D1203" s="24" t="s">
        <x:v>227</x:v>
      </x:c>
      <x:c r="E1203" s="24" t="s">
        <x:v>704</x:v>
      </x:c>
      <x:c r="F1203" s="24" t="s">
        <x:v>44</x:v>
      </x:c>
      <x:c r="G1203" s="44">
        <x:v>-5064.1099999999997</x:v>
      </x:c>
      <x:c r="H1203" s="24" t="s">
        <x:v>82</x:v>
      </x:c>
      <x:c r="I1203" s="24" t="s">
        <x:v>311</x:v>
      </x:c>
      <x:c r="J1203" s="24" t="s">
        <x:v>720</x:v>
      </x:c>
      <x:c r="K1203" s="22" t="s">
        <x:v>11</x:v>
      </x:c>
    </x:row>
    <x:row r="1204" hidden="1">
      <x:c r="A1204" s="24" t="s">
        <x:v>309</x:v>
      </x:c>
      <x:c r="B1204" s="25">
        <x:v>46113</x:v>
      </x:c>
      <x:c r="C1204" s="45" t="str">
        <x:f t="shared" si="18"/>
        <x:v>ABRIL</x:v>
      </x:c>
      <x:c r="D1204" s="24" t="s">
        <x:v>227</x:v>
      </x:c>
      <x:c r="E1204" s="24" t="s">
        <x:v>704</x:v>
      </x:c>
      <x:c r="F1204" s="24" t="s">
        <x:v>65</x:v>
      </x:c>
      <x:c r="G1204" s="44">
        <x:v>-6141.35</x:v>
      </x:c>
      <x:c r="H1204" s="24" t="s">
        <x:v>82</x:v>
      </x:c>
      <x:c r="I1204" s="24" t="s">
        <x:v>311</x:v>
      </x:c>
      <x:c r="J1204" s="24" t="s">
        <x:v>720</x:v>
      </x:c>
      <x:c r="K1204" s="22" t="s">
        <x:v>11</x:v>
      </x:c>
    </x:row>
    <x:row r="1205" hidden="1">
      <x:c r="A1205" s="24" t="s">
        <x:v>309</x:v>
      </x:c>
      <x:c r="B1205" s="25">
        <x:v>46113</x:v>
      </x:c>
      <x:c r="C1205" s="45" t="str">
        <x:f t="shared" si="18"/>
        <x:v>ABRIL</x:v>
      </x:c>
      <x:c r="D1205" s="24" t="s">
        <x:v>227</x:v>
      </x:c>
      <x:c r="E1205" s="24" t="s">
        <x:v>704</x:v>
      </x:c>
      <x:c r="F1205" s="24" t="s">
        <x:v>66</x:v>
      </x:c>
      <x:c r="G1205" s="44">
        <x:v>-6504.1</x:v>
      </x:c>
      <x:c r="H1205" s="24" t="s">
        <x:v>82</x:v>
      </x:c>
      <x:c r="I1205" s="24" t="s">
        <x:v>311</x:v>
      </x:c>
      <x:c r="J1205" s="24" t="s">
        <x:v>720</x:v>
      </x:c>
      <x:c r="K1205" s="22" t="s">
        <x:v>11</x:v>
      </x:c>
    </x:row>
    <x:row r="1206" hidden="1">
      <x:c r="A1206" s="24" t="s">
        <x:v>725</x:v>
      </x:c>
      <x:c r="B1206" s="25">
        <x:v>46113</x:v>
      </x:c>
      <x:c r="C1206" s="45" t="str">
        <x:f t="shared" si="18"/>
        <x:v>ABRIL</x:v>
      </x:c>
      <x:c r="D1206" s="24" t="s">
        <x:v>89</x:v>
      </x:c>
      <x:c r="E1206" s="24" t="s">
        <x:v>698</x:v>
      </x:c>
      <x:c r="F1206" s="24" t="s">
        <x:v>65</x:v>
      </x:c>
      <x:c r="G1206" s="44">
        <x:v>11180.4</x:v>
      </x:c>
      <x:c r="H1206" s="24" t="s">
        <x:v>91</x:v>
      </x:c>
      <x:c r="I1206" s="24" t="s">
        <x:v>311</x:v>
      </x:c>
      <x:c r="J1206" s="24" t="s">
        <x:v>721</x:v>
      </x:c>
      <x:c r="K1206" s="22" t="s">
        <x:v>11</x:v>
      </x:c>
    </x:row>
    <x:row r="1207" hidden="1">
      <x:c r="A1207" s="24" t="s">
        <x:v>726</x:v>
      </x:c>
      <x:c r="B1207" s="25">
        <x:v>46113</x:v>
      </x:c>
      <x:c r="C1207" s="45" t="str">
        <x:f t="shared" si="18"/>
        <x:v>ABRIL</x:v>
      </x:c>
      <x:c r="D1207" s="24" t="s">
        <x:v>89</x:v>
      </x:c>
      <x:c r="E1207" s="24" t="s">
        <x:v>727</x:v>
      </x:c>
      <x:c r="F1207" s="24" t="s">
        <x:v>44</x:v>
      </x:c>
      <x:c r="G1207" s="44">
        <x:v>5633.2</x:v>
      </x:c>
      <x:c r="H1207" s="24" t="s">
        <x:v>91</x:v>
      </x:c>
      <x:c r="I1207" s="24" t="s">
        <x:v>311</x:v>
      </x:c>
      <x:c r="J1207" s="24" t="s">
        <x:v>720</x:v>
      </x:c>
      <x:c r="K1207" s="22" t="s">
        <x:v>11</x:v>
      </x:c>
    </x:row>
    <x:row r="1208" hidden="1">
      <x:c r="A1208" s="24" t="s">
        <x:v>325</x:v>
      </x:c>
      <x:c r="B1208" s="25">
        <x:v>46113</x:v>
      </x:c>
      <x:c r="C1208" s="45" t="str">
        <x:f t="shared" si="18"/>
        <x:v>ABRIL</x:v>
      </x:c>
      <x:c r="D1208" s="24" t="s">
        <x:v>227</x:v>
      </x:c>
      <x:c r="E1208" s="24" t="s">
        <x:v>170</x:v>
      </x:c>
      <x:c r="F1208" s="24" t="s">
        <x:v>385</x:v>
      </x:c>
      <x:c r="G1208" s="44">
        <x:v>-1488.13</x:v>
      </x:c>
      <x:c r="H1208" s="24" t="s">
        <x:v>82</x:v>
      </x:c>
      <x:c r="I1208" s="24" t="s">
        <x:v>311</x:v>
      </x:c>
      <x:c r="J1208" s="27" t="s">
        <x:v>728</x:v>
      </x:c>
      <x:c r="K1208" s="22" t="s">
        <x:v>11</x:v>
      </x:c>
    </x:row>
    <x:row r="1209" hidden="1">
      <x:c r="A1209" s="24" t="s">
        <x:v>309</x:v>
      </x:c>
      <x:c r="B1209" s="25">
        <x:v>46113</x:v>
      </x:c>
      <x:c r="C1209" s="45" t="str">
        <x:f t="shared" si="18"/>
        <x:v>ABRIL</x:v>
      </x:c>
      <x:c r="D1209" s="24" t="s">
        <x:v>227</x:v>
      </x:c>
      <x:c r="E1209" s="24" t="s">
        <x:v>40</x:v>
      </x:c>
      <x:c r="F1209" s="24" t="s">
        <x:v>44</x:v>
      </x:c>
      <x:c r="G1209" s="44">
        <x:v>-500</x:v>
      </x:c>
      <x:c r="H1209" s="24" t="s">
        <x:v>82</x:v>
      </x:c>
      <x:c r="I1209" s="24" t="s">
        <x:v>311</x:v>
      </x:c>
      <x:c r="J1209" s="24" t="s">
        <x:v>721</x:v>
      </x:c>
      <x:c r="K1209" s="22" t="s">
        <x:v>11</x:v>
      </x:c>
    </x:row>
    <x:row r="1210" hidden="1">
      <x:c r="A1210" s="24" t="s">
        <x:v>325</x:v>
      </x:c>
      <x:c r="B1210" s="25">
        <x:v>46113</x:v>
      </x:c>
      <x:c r="C1210" s="45" t="str">
        <x:f t="shared" si="18"/>
        <x:v>ABRIL</x:v>
      </x:c>
      <x:c r="D1210" s="24" t="s">
        <x:v>227</x:v>
      </x:c>
      <x:c r="E1210" s="24" t="s">
        <x:v>40</x:v>
      </x:c>
      <x:c r="F1210" s="24" t="s">
        <x:v>44</x:v>
      </x:c>
      <x:c r="G1210" s="44">
        <x:v>-1000</x:v>
      </x:c>
      <x:c r="H1210" s="24" t="s">
        <x:v>82</x:v>
      </x:c>
      <x:c r="I1210" s="24" t="s">
        <x:v>311</x:v>
      </x:c>
      <x:c r="J1210" s="24" t="s">
        <x:v>721</x:v>
      </x:c>
      <x:c r="K1210" s="22" t="s">
        <x:v>11</x:v>
      </x:c>
    </x:row>
    <x:row r="1211" hidden="1">
      <x:c r="A1211" s="24" t="s">
        <x:v>729</x:v>
      </x:c>
      <x:c r="B1211" s="25">
        <x:v>46113</x:v>
      </x:c>
      <x:c r="C1211" s="45" t="str">
        <x:f t="shared" si="18"/>
        <x:v>ABRIL</x:v>
      </x:c>
      <x:c r="D1211" s="24" t="s">
        <x:v>89</x:v>
      </x:c>
      <x:c r="E1211" s="24" t="s">
        <x:v>730</x:v>
      </x:c>
      <x:c r="F1211" s="24" t="s">
        <x:v>66</x:v>
      </x:c>
      <x:c r="G1211" s="44">
        <x:v>11047.3</x:v>
      </x:c>
      <x:c r="H1211" s="24" t="s">
        <x:v>91</x:v>
      </x:c>
      <x:c r="I1211" s="24" t="s">
        <x:v>311</x:v>
      </x:c>
      <x:c r="J1211" s="24" t="s">
        <x:v>721</x:v>
      </x:c>
      <x:c r="K1211" s="22" t="s">
        <x:v>11</x:v>
      </x:c>
    </x:row>
    <x:row r="1212" hidden="1">
      <x:c r="A1212" s="24" t="s">
        <x:v>731</x:v>
      </x:c>
      <x:c r="B1212" s="25">
        <x:v>46113</x:v>
      </x:c>
      <x:c r="C1212" s="45" t="str">
        <x:f t="shared" si="18"/>
        <x:v>ABRIL</x:v>
      </x:c>
      <x:c r="D1212" s="24" t="s">
        <x:v>89</x:v>
      </x:c>
      <x:c r="E1212" s="24" t="s">
        <x:v>678</x:v>
      </x:c>
      <x:c r="F1212" s="24" t="s">
        <x:v>59</x:v>
      </x:c>
      <x:c r="G1212" s="44">
        <x:v>13394.7</x:v>
      </x:c>
      <x:c r="H1212" s="24" t="s">
        <x:v>91</x:v>
      </x:c>
      <x:c r="I1212" s="24" t="s">
        <x:v>311</x:v>
      </x:c>
      <x:c r="J1212" s="24" t="s">
        <x:v>721</x:v>
      </x:c>
      <x:c r="K1212" s="22" t="s">
        <x:v>11</x:v>
      </x:c>
    </x:row>
    <x:row r="1213" hidden="1">
      <x:c r="A1213" s="24" t="s">
        <x:v>357</x:v>
      </x:c>
      <x:c r="B1213" s="25">
        <x:v>46113</x:v>
      </x:c>
      <x:c r="C1213" s="45" t="str">
        <x:f t="shared" si="18"/>
        <x:v>ABRIL</x:v>
      </x:c>
      <x:c r="D1213" s="24" t="s">
        <x:v>227</x:v>
      </x:c>
      <x:c r="E1213" s="24" t="s">
        <x:v>186</x:v>
      </x:c>
      <x:c r="F1213" s="24" t="s">
        <x:v>44</x:v>
      </x:c>
      <x:c r="G1213" s="44">
        <x:v>-878.63</x:v>
      </x:c>
      <x:c r="H1213" s="24" t="s">
        <x:v>82</x:v>
      </x:c>
      <x:c r="I1213" s="24" t="s">
        <x:v>311</x:v>
      </x:c>
      <x:c r="J1213" s="24" t="s">
        <x:v>728</x:v>
      </x:c>
      <x:c r="K1213" s="22" t="s">
        <x:v>11</x:v>
      </x:c>
    </x:row>
    <x:row r="1214" hidden="1">
      <x:c r="A1214" s="24" t="s">
        <x:v>325</x:v>
      </x:c>
      <x:c r="B1214" s="25">
        <x:v>46113</x:v>
      </x:c>
      <x:c r="C1214" s="45" t="str">
        <x:f t="shared" si="18"/>
        <x:v>ABRIL</x:v>
      </x:c>
      <x:c r="D1214" s="24" t="s">
        <x:v>227</x:v>
      </x:c>
      <x:c r="E1214" s="24" t="s">
        <x:v>186</x:v>
      </x:c>
      <x:c r="F1214" s="24" t="s">
        <x:v>44</x:v>
      </x:c>
      <x:c r="G1214" s="44">
        <x:v>-188.03</x:v>
      </x:c>
      <x:c r="H1214" s="24" t="s">
        <x:v>82</x:v>
      </x:c>
      <x:c r="I1214" s="24" t="s">
        <x:v>311</x:v>
      </x:c>
      <x:c r="J1214" s="24" t="s">
        <x:v>728</x:v>
      </x:c>
      <x:c r="K1214" s="22" t="s">
        <x:v>11</x:v>
      </x:c>
    </x:row>
    <x:row r="1215" hidden="1">
      <x:c r="A1215" s="24" t="s">
        <x:v>325</x:v>
      </x:c>
      <x:c r="B1215" s="25">
        <x:v>46113</x:v>
      </x:c>
      <x:c r="C1215" s="45" t="str">
        <x:f t="shared" si="18"/>
        <x:v>ABRIL</x:v>
      </x:c>
      <x:c r="D1215" s="24" t="s">
        <x:v>227</x:v>
      </x:c>
      <x:c r="E1215" s="24" t="s">
        <x:v>186</x:v>
      </x:c>
      <x:c r="F1215" s="24" t="s">
        <x:v>314</x:v>
      </x:c>
      <x:c r="G1215" s="44">
        <x:v>-322.06</x:v>
      </x:c>
      <x:c r="H1215" s="24" t="s">
        <x:v>82</x:v>
      </x:c>
      <x:c r="I1215" s="24" t="s">
        <x:v>311</x:v>
      </x:c>
      <x:c r="J1215" s="24" t="s">
        <x:v>728</x:v>
      </x:c>
      <x:c r="K1215" s="22" t="s">
        <x:v>11</x:v>
      </x:c>
    </x:row>
    <x:row r="1216" hidden="1">
      <x:c r="A1216" s="24" t="s">
        <x:v>357</x:v>
      </x:c>
      <x:c r="B1216" s="25">
        <x:v>46113</x:v>
      </x:c>
      <x:c r="C1216" s="45" t="str">
        <x:f t="shared" si="18"/>
        <x:v>ABRIL</x:v>
      </x:c>
      <x:c r="D1216" s="24" t="s">
        <x:v>227</x:v>
      </x:c>
      <x:c r="E1216" s="24" t="s">
        <x:v>186</x:v>
      </x:c>
      <x:c r="F1216" s="24" t="s">
        <x:v>314</x:v>
      </x:c>
      <x:c r="G1216" s="44">
        <x:v>-1852.95</x:v>
      </x:c>
      <x:c r="H1216" s="24" t="s">
        <x:v>82</x:v>
      </x:c>
      <x:c r="I1216" s="24" t="s">
        <x:v>311</x:v>
      </x:c>
      <x:c r="J1216" s="24" t="s">
        <x:v>728</x:v>
      </x:c>
      <x:c r="K1216" s="22" t="s">
        <x:v>11</x:v>
      </x:c>
    </x:row>
    <x:row r="1217" hidden="1">
      <x:c r="A1217" s="24" t="s">
        <x:v>732</x:v>
      </x:c>
      <x:c r="B1217" s="25">
        <x:v>46113</x:v>
      </x:c>
      <x:c r="C1217" s="45" t="str">
        <x:f t="shared" si="18"/>
        <x:v>ABRIL</x:v>
      </x:c>
      <x:c r="D1217" s="24" t="s">
        <x:v>89</x:v>
      </x:c>
      <x:c r="E1217" s="24" t="s">
        <x:v>712</x:v>
      </x:c>
      <x:c r="F1217" s="24" t="s">
        <x:v>65</x:v>
      </x:c>
      <x:c r="G1217" s="44">
        <x:v>9450.1</x:v>
      </x:c>
      <x:c r="H1217" s="24" t="s">
        <x:v>91</x:v>
      </x:c>
      <x:c r="I1217" s="24" t="s">
        <x:v>311</x:v>
      </x:c>
      <x:c r="J1217" s="24" t="s">
        <x:v>733</x:v>
      </x:c>
      <x:c r="K1217" s="22" t="s">
        <x:v>11</x:v>
      </x:c>
    </x:row>
    <x:row r="1218" hidden="1">
      <x:c r="A1218" s="24" t="s">
        <x:v>337</x:v>
      </x:c>
      <x:c r="B1218" s="25">
        <x:v>46113</x:v>
      </x:c>
      <x:c r="C1218" s="45" t="str">
        <x:f t="shared" ref="C1218:C1281" si="19">UPPER(TEXT(B1218,"MMMM"))</x:f>
        <x:v>APRIL</x:v>
      </x:c>
      <x:c r="D1218" s="24" t="s">
        <x:v>227</x:v>
      </x:c>
      <x:c r="E1218" s="24" t="s">
        <x:v>338</x:v>
      </x:c>
      <x:c r="F1218" s="24" t="s">
        <x:v>44</x:v>
      </x:c>
      <x:c r="G1218" s="44">
        <x:v>-1796.02</x:v>
      </x:c>
      <x:c r="H1218" s="24" t="s">
        <x:v>82</x:v>
      </x:c>
      <x:c r="I1218" s="24" t="s">
        <x:v>311</x:v>
      </x:c>
      <x:c r="J1218" s="24" t="s">
        <x:v>728</x:v>
      </x:c>
      <x:c r="K1218" s="22" t="s">
        <x:v>11</x:v>
      </x:c>
    </x:row>
    <x:row r="1219" hidden="1">
      <x:c r="A1219" s="24" t="s">
        <x:v>423</x:v>
      </x:c>
      <x:c r="B1219" s="25">
        <x:v>46113</x:v>
      </x:c>
      <x:c r="C1219" s="45" t="str">
        <x:f t="shared" si="19"/>
        <x:v>ABRIL</x:v>
      </x:c>
      <x:c r="D1219" s="24" t="s">
        <x:v>201</x:v>
      </x:c>
      <x:c r="E1219" s="24" t="s">
        <x:v>424</x:v>
      </x:c>
      <x:c r="F1219" s="24" t="s">
        <x:v>65</x:v>
      </x:c>
      <x:c r="G1219" s="44">
        <x:v>-2191.614</x:v>
      </x:c>
      <x:c r="H1219" s="24" t="s">
        <x:v>82</x:v>
      </x:c>
      <x:c r="I1219" s="24" t="s">
        <x:v>311</x:v>
      </x:c>
      <x:c r="J1219" s="24" t="s">
        <x:v>733</x:v>
      </x:c>
      <x:c r="K1219" s="22" t="s">
        <x:v>11</x:v>
      </x:c>
    </x:row>
    <x:row r="1220" hidden="1">
      <x:c r="A1220" s="24" t="s">
        <x:v>423</x:v>
      </x:c>
      <x:c r="B1220" s="25">
        <x:v>46113</x:v>
      </x:c>
      <x:c r="C1220" s="45" t="str">
        <x:f t="shared" si="19"/>
        <x:v>ABRIL</x:v>
      </x:c>
      <x:c r="D1220" s="24" t="s">
        <x:v>201</x:v>
      </x:c>
      <x:c r="E1220" s="24" t="s">
        <x:v>424</x:v>
      </x:c>
      <x:c r="F1220" s="24" t="s">
        <x:v>59</x:v>
      </x:c>
      <x:c r="G1220" s="44">
        <x:v>-2191.614</x:v>
      </x:c>
      <x:c r="H1220" s="24" t="s">
        <x:v>82</x:v>
      </x:c>
      <x:c r="I1220" s="24" t="s">
        <x:v>311</x:v>
      </x:c>
      <x:c r="J1220" s="24" t="s">
        <x:v>733</x:v>
      </x:c>
      <x:c r="K1220" s="22" t="s">
        <x:v>11</x:v>
      </x:c>
    </x:row>
    <x:row r="1221" hidden="1">
      <x:c r="A1221" s="24" t="s">
        <x:v>423</x:v>
      </x:c>
      <x:c r="B1221" s="25">
        <x:v>46113</x:v>
      </x:c>
      <x:c r="C1221" s="45" t="str">
        <x:f t="shared" si="19"/>
        <x:v>ABRIL</x:v>
      </x:c>
      <x:c r="D1221" s="24" t="s">
        <x:v>201</x:v>
      </x:c>
      <x:c r="E1221" s="24" t="s">
        <x:v>424</x:v>
      </x:c>
      <x:c r="F1221" s="24" t="s">
        <x:v>66</x:v>
      </x:c>
      <x:c r="G1221" s="44">
        <x:v>-2191.614</x:v>
      </x:c>
      <x:c r="H1221" s="24" t="s">
        <x:v>82</x:v>
      </x:c>
      <x:c r="I1221" s="24" t="s">
        <x:v>311</x:v>
      </x:c>
      <x:c r="J1221" s="24" t="s">
        <x:v>733</x:v>
      </x:c>
      <x:c r="K1221" s="22" t="s">
        <x:v>11</x:v>
      </x:c>
    </x:row>
    <x:row r="1222" hidden="1">
      <x:c r="A1222" s="24" t="s">
        <x:v>423</x:v>
      </x:c>
      <x:c r="B1222" s="25">
        <x:v>46113</x:v>
      </x:c>
      <x:c r="C1222" s="45" t="str">
        <x:f t="shared" si="19"/>
        <x:v>ABRIL</x:v>
      </x:c>
      <x:c r="D1222" s="24" t="s">
        <x:v>201</x:v>
      </x:c>
      <x:c r="E1222" s="24" t="s">
        <x:v>424</x:v>
      </x:c>
      <x:c r="F1222" s="24" t="s">
        <x:v>44</x:v>
      </x:c>
      <x:c r="G1222" s="44">
        <x:v>-2191.614</x:v>
      </x:c>
      <x:c r="H1222" s="24" t="s">
        <x:v>82</x:v>
      </x:c>
      <x:c r="I1222" s="24" t="s">
        <x:v>311</x:v>
      </x:c>
      <x:c r="J1222" s="24" t="s">
        <x:v>733</x:v>
      </x:c>
      <x:c r="K1222" s="22" t="s">
        <x:v>11</x:v>
      </x:c>
    </x:row>
    <x:row r="1223" hidden="1">
      <x:c r="A1223" s="24" t="s">
        <x:v>423</x:v>
      </x:c>
      <x:c r="B1223" s="25">
        <x:v>46113</x:v>
      </x:c>
      <x:c r="C1223" s="45" t="str">
        <x:f t="shared" si="19"/>
        <x:v>ABRIL</x:v>
      </x:c>
      <x:c r="D1223" s="24" t="s">
        <x:v>201</x:v>
      </x:c>
      <x:c r="E1223" s="24" t="s">
        <x:v>424</x:v>
      </x:c>
      <x:c r="F1223" s="24" t="s">
        <x:v>314</x:v>
      </x:c>
      <x:c r="G1223" s="44">
        <x:v>-2191.614</x:v>
      </x:c>
      <x:c r="H1223" s="24" t="s">
        <x:v>82</x:v>
      </x:c>
      <x:c r="I1223" s="24" t="s">
        <x:v>311</x:v>
      </x:c>
      <x:c r="J1223" s="24" t="s">
        <x:v>733</x:v>
      </x:c>
      <x:c r="K1223" s="22" t="s">
        <x:v>11</x:v>
      </x:c>
    </x:row>
    <x:row r="1224" hidden="1">
      <x:c r="A1224" s="24" t="s">
        <x:v>325</x:v>
      </x:c>
      <x:c r="B1224" s="25">
        <x:v>46113</x:v>
      </x:c>
      <x:c r="C1224" s="45" t="str">
        <x:f t="shared" si="19"/>
        <x:v>ABRIL</x:v>
      </x:c>
      <x:c r="D1224" s="24" t="s">
        <x:v>227</x:v>
      </x:c>
      <x:c r="E1224" s="24" t="s">
        <x:v>170</x:v>
      </x:c>
      <x:c r="F1224" s="24" t="s">
        <x:v>314</x:v>
      </x:c>
      <x:c r="G1224" s="44">
        <x:v>-1308.5899999999999</x:v>
      </x:c>
      <x:c r="H1224" s="24" t="s">
        <x:v>82</x:v>
      </x:c>
      <x:c r="I1224" s="24" t="s">
        <x:v>311</x:v>
      </x:c>
      <x:c r="J1224" s="27" t="s">
        <x:v>728</x:v>
      </x:c>
      <x:c r="K1224" s="22" t="s">
        <x:v>11</x:v>
      </x:c>
    </x:row>
    <x:row r="1225" hidden="1">
      <x:c r="A1225" s="24" t="s">
        <x:v>325</x:v>
      </x:c>
      <x:c r="B1225" s="25">
        <x:v>46113</x:v>
      </x:c>
      <x:c r="C1225" s="45" t="str">
        <x:f t="shared" si="19"/>
        <x:v>ABRIL</x:v>
      </x:c>
      <x:c r="D1225" s="24" t="s">
        <x:v>227</x:v>
      </x:c>
      <x:c r="E1225" s="24" t="s">
        <x:v>170</x:v>
      </x:c>
      <x:c r="F1225" s="24" t="s">
        <x:v>389</x:v>
      </x:c>
      <x:c r="G1225" s="44">
        <x:v>-360</x:v>
      </x:c>
      <x:c r="H1225" s="24" t="s">
        <x:v>82</x:v>
      </x:c>
      <x:c r="I1225" s="24" t="s">
        <x:v>311</x:v>
      </x:c>
      <x:c r="J1225" s="24" t="s">
        <x:v>728</x:v>
      </x:c>
      <x:c r="K1225" s="22" t="s">
        <x:v>11</x:v>
      </x:c>
    </x:row>
    <x:row r="1226" hidden="1">
      <x:c r="A1226" s="24" t="s">
        <x:v>357</x:v>
      </x:c>
      <x:c r="B1226" s="25">
        <x:v>46113</x:v>
      </x:c>
      <x:c r="C1226" s="45" t="str">
        <x:f t="shared" si="19"/>
        <x:v>ABRIL</x:v>
      </x:c>
      <x:c r="D1226" s="24" t="s">
        <x:v>227</x:v>
      </x:c>
      <x:c r="E1226" s="24" t="s">
        <x:v>170</x:v>
      </x:c>
      <x:c r="F1226" s="24" t="s">
        <x:v>389</x:v>
      </x:c>
      <x:c r="G1226" s="44">
        <x:v>-1277.3399999999999</x:v>
      </x:c>
      <x:c r="H1226" s="24" t="s">
        <x:v>82</x:v>
      </x:c>
      <x:c r="I1226" s="24" t="s">
        <x:v>311</x:v>
      </x:c>
      <x:c r="J1226" s="24" t="s">
        <x:v>728</x:v>
      </x:c>
      <x:c r="K1226" s="22" t="s">
        <x:v>11</x:v>
      </x:c>
    </x:row>
    <x:row r="1227" hidden="1">
      <x:c r="A1227" s="24" t="s">
        <x:v>325</x:v>
      </x:c>
      <x:c r="B1227" s="25">
        <x:v>46113</x:v>
      </x:c>
      <x:c r="C1227" s="45" t="str">
        <x:f t="shared" si="19"/>
        <x:v>ABRIL</x:v>
      </x:c>
      <x:c r="D1227" s="24" t="s">
        <x:v>227</x:v>
      </x:c>
      <x:c r="E1227" s="24" t="s">
        <x:v>24</x:v>
      </x:c>
      <x:c r="F1227" s="24" t="s">
        <x:v>66</x:v>
      </x:c>
      <x:c r="G1227" s="44">
        <x:v>-70</x:v>
      </x:c>
      <x:c r="H1227" s="24" t="s">
        <x:v>82</x:v>
      </x:c>
      <x:c r="I1227" s="24" t="s">
        <x:v>311</x:v>
      </x:c>
      <x:c r="J1227" s="24" t="s">
        <x:v>733</x:v>
      </x:c>
      <x:c r="K1227" s="22" t="s">
        <x:v>11</x:v>
      </x:c>
    </x:row>
    <x:row r="1228" hidden="1">
      <x:c r="A1228" s="24" t="s">
        <x:v>734</x:v>
      </x:c>
      <x:c r="B1228" s="25">
        <x:v>46113</x:v>
      </x:c>
      <x:c r="C1228" s="45" t="str">
        <x:f t="shared" si="19"/>
        <x:v>ABRIL</x:v>
      </x:c>
      <x:c r="D1228" s="24" t="s">
        <x:v>89</x:v>
      </x:c>
      <x:c r="E1228" s="24" t="s">
        <x:v>374</x:v>
      </x:c>
      <x:c r="F1228" s="24" t="s">
        <x:v>66</x:v>
      </x:c>
      <x:c r="G1228" s="44">
        <x:v>10986.8</x:v>
      </x:c>
      <x:c r="H1228" s="24" t="s">
        <x:v>91</x:v>
      </x:c>
      <x:c r="I1228" s="24" t="s">
        <x:v>311</x:v>
      </x:c>
      <x:c r="J1228" s="24" t="s">
        <x:v>733</x:v>
      </x:c>
      <x:c r="K1228" s="22" t="s">
        <x:v>11</x:v>
      </x:c>
    </x:row>
    <x:row r="1229" hidden="1">
      <x:c r="A1229" s="24" t="s">
        <x:v>735</x:v>
      </x:c>
      <x:c r="B1229" s="25">
        <x:v>46113</x:v>
      </x:c>
      <x:c r="C1229" s="45" t="str">
        <x:f t="shared" si="19"/>
        <x:v>ABRIL</x:v>
      </x:c>
      <x:c r="D1229" s="24" t="s">
        <x:v>89</x:v>
      </x:c>
      <x:c r="E1229" s="24" t="s">
        <x:v>526</x:v>
      </x:c>
      <x:c r="F1229" s="24" t="s">
        <x:v>59</x:v>
      </x:c>
      <x:c r="G1229" s="44">
        <x:v>12898.6</x:v>
      </x:c>
      <x:c r="H1229" s="24" t="s">
        <x:v>91</x:v>
      </x:c>
      <x:c r="I1229" s="24" t="s">
        <x:v>311</x:v>
      </x:c>
      <x:c r="J1229" s="24" t="s">
        <x:v>736</x:v>
      </x:c>
      <x:c r="K1229" s="22" t="s">
        <x:v>11</x:v>
      </x:c>
    </x:row>
    <x:row r="1230" hidden="1">
      <x:c r="A1230" s="30" t="s">
        <x:v>112</x:v>
      </x:c>
      <x:c r="B1230" s="25">
        <x:v>46113</x:v>
      </x:c>
      <x:c r="C1230" s="45" t="str">
        <x:f t="shared" si="19"/>
        <x:v>ABRIL</x:v>
      </x:c>
      <x:c r="D1230" s="24" t="s">
        <x:v>112</x:v>
      </x:c>
      <x:c r="E1230" s="24" t="s">
        <x:v>660</x:v>
      </x:c>
      <x:c r="F1230" s="24" t="s">
        <x:v>65</x:v>
      </x:c>
      <x:c r="G1230" s="44">
        <x:v>-21322.48</x:v>
      </x:c>
      <x:c r="H1230" s="24" t="s">
        <x:v>82</x:v>
      </x:c>
      <x:c r="I1230" s="24" t="s">
        <x:v>311</x:v>
      </x:c>
      <x:c r="J1230" s="24" t="s">
        <x:v>675</x:v>
      </x:c>
      <x:c r="K1230" s="22" t="s">
        <x:v>11</x:v>
      </x:c>
    </x:row>
    <x:row r="1231" hidden="1">
      <x:c r="A1231" s="24" t="s">
        <x:v>309</x:v>
      </x:c>
      <x:c r="B1231" s="25">
        <x:v>46113</x:v>
      </x:c>
      <x:c r="C1231" s="45" t="str">
        <x:f t="shared" si="19"/>
        <x:v>ABRIL</x:v>
      </x:c>
      <x:c r="D1231" s="24" t="s">
        <x:v>227</x:v>
      </x:c>
      <x:c r="E1231" s="24" t="s">
        <x:v>737</x:v>
      </x:c>
      <x:c r="F1231" s="24" t="s">
        <x:v>59</x:v>
      </x:c>
      <x:c r="G1231" s="44">
        <x:v>-5908.56</x:v>
      </x:c>
      <x:c r="H1231" s="24" t="s">
        <x:v>82</x:v>
      </x:c>
      <x:c r="I1231" s="24" t="s">
        <x:v>311</x:v>
      </x:c>
      <x:c r="J1231" s="24" t="s">
        <x:v>736</x:v>
      </x:c>
      <x:c r="K1231" s="22" t="s">
        <x:v>11</x:v>
      </x:c>
    </x:row>
    <x:row r="1232" hidden="1">
      <x:c r="A1232" s="24" t="s">
        <x:v>309</x:v>
      </x:c>
      <x:c r="B1232" s="25">
        <x:v>46113</x:v>
      </x:c>
      <x:c r="C1232" s="45" t="str">
        <x:f t="shared" si="19"/>
        <x:v>ABRIL</x:v>
      </x:c>
      <x:c r="D1232" s="24" t="s">
        <x:v>227</x:v>
      </x:c>
      <x:c r="E1232" s="24" t="s">
        <x:v>737</x:v>
      </x:c>
      <x:c r="F1232" s="24" t="s">
        <x:v>44</x:v>
      </x:c>
      <x:c r="G1232" s="44">
        <x:v>-4652.96</x:v>
      </x:c>
      <x:c r="H1232" s="24" t="s">
        <x:v>82</x:v>
      </x:c>
      <x:c r="I1232" s="24" t="s">
        <x:v>311</x:v>
      </x:c>
      <x:c r="J1232" s="24" t="s">
        <x:v>736</x:v>
      </x:c>
      <x:c r="K1232" s="22" t="s">
        <x:v>11</x:v>
      </x:c>
    </x:row>
    <x:row r="1233" hidden="1">
      <x:c r="A1233" s="24" t="s">
        <x:v>309</x:v>
      </x:c>
      <x:c r="B1233" s="25">
        <x:v>46113</x:v>
      </x:c>
      <x:c r="C1233" s="45" t="str">
        <x:f t="shared" si="19"/>
        <x:v>ABRIL</x:v>
      </x:c>
      <x:c r="D1233" s="24" t="s">
        <x:v>227</x:v>
      </x:c>
      <x:c r="E1233" s="24" t="s">
        <x:v>737</x:v>
      </x:c>
      <x:c r="F1233" s="24" t="s">
        <x:v>65</x:v>
      </x:c>
      <x:c r="G1233" s="44">
        <x:v>-2304.79</x:v>
      </x:c>
      <x:c r="H1233" s="24" t="s">
        <x:v>82</x:v>
      </x:c>
      <x:c r="I1233" s="24" t="s">
        <x:v>311</x:v>
      </x:c>
      <x:c r="J1233" s="24" t="s">
        <x:v>736</x:v>
      </x:c>
      <x:c r="K1233" s="22" t="s">
        <x:v>11</x:v>
      </x:c>
    </x:row>
    <x:row r="1234" hidden="1">
      <x:c r="A1234" s="24" t="s">
        <x:v>309</x:v>
      </x:c>
      <x:c r="B1234" s="25">
        <x:v>46113</x:v>
      </x:c>
      <x:c r="C1234" s="45" t="str">
        <x:f t="shared" si="19"/>
        <x:v>ABRIL</x:v>
      </x:c>
      <x:c r="D1234" s="24" t="s">
        <x:v>227</x:v>
      </x:c>
      <x:c r="E1234" s="24" t="s">
        <x:v>737</x:v>
      </x:c>
      <x:c r="F1234" s="24" t="s">
        <x:v>66</x:v>
      </x:c>
      <x:c r="G1234" s="44">
        <x:v>-6997.66</x:v>
      </x:c>
      <x:c r="H1234" s="24" t="s">
        <x:v>82</x:v>
      </x:c>
      <x:c r="I1234" s="24" t="s">
        <x:v>311</x:v>
      </x:c>
      <x:c r="J1234" s="24" t="s">
        <x:v>736</x:v>
      </x:c>
      <x:c r="K1234" s="22" t="s">
        <x:v>11</x:v>
      </x:c>
    </x:row>
    <x:row r="1235" hidden="1">
      <x:c r="A1235" s="24" t="s">
        <x:v>309</x:v>
      </x:c>
      <x:c r="B1235" s="25">
        <x:v>46113</x:v>
      </x:c>
      <x:c r="C1235" s="45" t="str">
        <x:f t="shared" si="19"/>
        <x:v>ABRIL</x:v>
      </x:c>
      <x:c r="D1235" s="24" t="s">
        <x:v>227</x:v>
      </x:c>
      <x:c r="E1235" s="24" t="s">
        <x:v>666</x:v>
      </x:c>
      <x:c r="F1235" s="24" t="s">
        <x:v>59</x:v>
      </x:c>
      <x:c r="G1235" s="44">
        <x:v>-3700.78</x:v>
      </x:c>
      <x:c r="H1235" s="24" t="s">
        <x:v>82</x:v>
      </x:c>
      <x:c r="I1235" s="24" t="s">
        <x:v>311</x:v>
      </x:c>
      <x:c r="J1235" s="24" t="s">
        <x:v>736</x:v>
      </x:c>
      <x:c r="K1235" s="22" t="s">
        <x:v>11</x:v>
      </x:c>
    </x:row>
    <x:row r="1236" hidden="1">
      <x:c r="A1236" s="24" t="s">
        <x:v>309</x:v>
      </x:c>
      <x:c r="B1236" s="25">
        <x:v>46113</x:v>
      </x:c>
      <x:c r="C1236" s="45" t="str">
        <x:f t="shared" si="19"/>
        <x:v>ABRIL</x:v>
      </x:c>
      <x:c r="D1236" s="24" t="s">
        <x:v>227</x:v>
      </x:c>
      <x:c r="E1236" s="24" t="s">
        <x:v>666</x:v>
      </x:c>
      <x:c r="F1236" s="24" t="s">
        <x:v>44</x:v>
      </x:c>
      <x:c r="G1236" s="44">
        <x:v>-3890.81</x:v>
      </x:c>
      <x:c r="H1236" s="24" t="s">
        <x:v>82</x:v>
      </x:c>
      <x:c r="I1236" s="24" t="s">
        <x:v>311</x:v>
      </x:c>
      <x:c r="J1236" s="24" t="s">
        <x:v>736</x:v>
      </x:c>
      <x:c r="K1236" s="22" t="s">
        <x:v>11</x:v>
      </x:c>
    </x:row>
    <x:row r="1237" hidden="1">
      <x:c r="A1237" s="24" t="s">
        <x:v>309</x:v>
      </x:c>
      <x:c r="B1237" s="25">
        <x:v>46113</x:v>
      </x:c>
      <x:c r="C1237" s="45" t="str">
        <x:f t="shared" si="19"/>
        <x:v>ABRIL</x:v>
      </x:c>
      <x:c r="D1237" s="24" t="s">
        <x:v>227</x:v>
      </x:c>
      <x:c r="E1237" s="24" t="s">
        <x:v>666</x:v>
      </x:c>
      <x:c r="F1237" s="24" t="s">
        <x:v>65</x:v>
      </x:c>
      <x:c r="G1237" s="44">
        <x:v>-2880.04</x:v>
      </x:c>
      <x:c r="H1237" s="24" t="s">
        <x:v>82</x:v>
      </x:c>
      <x:c r="I1237" s="24" t="s">
        <x:v>311</x:v>
      </x:c>
      <x:c r="J1237" s="24" t="s">
        <x:v>736</x:v>
      </x:c>
      <x:c r="K1237" s="22" t="s">
        <x:v>11</x:v>
      </x:c>
    </x:row>
    <x:row r="1238" hidden="1">
      <x:c r="A1238" s="24" t="s">
        <x:v>738</x:v>
      </x:c>
      <x:c r="B1238" s="25">
        <x:v>46113</x:v>
      </x:c>
      <x:c r="C1238" s="45" t="str">
        <x:f t="shared" si="19"/>
        <x:v>ABRIL</x:v>
      </x:c>
      <x:c r="D1238" s="24" t="s">
        <x:v>227</x:v>
      </x:c>
      <x:c r="E1238" s="24" t="s">
        <x:v>190</x:v>
      </x:c>
      <x:c r="F1238" s="24" t="s">
        <x:v>59</x:v>
      </x:c>
      <x:c r="G1238" s="44">
        <x:v>-293.70999999999998</x:v>
      </x:c>
      <x:c r="H1238" s="24" t="s">
        <x:v>82</x:v>
      </x:c>
      <x:c r="I1238" s="24" t="s">
        <x:v>311</x:v>
      </x:c>
      <x:c r="J1238" s="24" t="s">
        <x:v>736</x:v>
      </x:c>
      <x:c r="K1238" s="22" t="s">
        <x:v>11</x:v>
      </x:c>
    </x:row>
    <x:row r="1239" hidden="1">
      <x:c r="A1239" s="24" t="s">
        <x:v>738</x:v>
      </x:c>
      <x:c r="B1239" s="25">
        <x:v>46113</x:v>
      </x:c>
      <x:c r="C1239" s="45" t="str">
        <x:f t="shared" si="19"/>
        <x:v>ABRIL</x:v>
      </x:c>
      <x:c r="D1239" s="24" t="s">
        <x:v>227</x:v>
      </x:c>
      <x:c r="E1239" s="24" t="s">
        <x:v>190</x:v>
      </x:c>
      <x:c r="F1239" s="24" t="s">
        <x:v>44</x:v>
      </x:c>
      <x:c r="G1239" s="44">
        <x:v>-293.70999999999998</x:v>
      </x:c>
      <x:c r="H1239" s="24" t="s">
        <x:v>82</x:v>
      </x:c>
      <x:c r="I1239" s="24" t="s">
        <x:v>311</x:v>
      </x:c>
      <x:c r="J1239" s="24" t="s">
        <x:v>736</x:v>
      </x:c>
      <x:c r="K1239" s="22" t="s">
        <x:v>11</x:v>
      </x:c>
    </x:row>
    <x:row r="1240" hidden="1">
      <x:c r="A1240" s="24" t="s">
        <x:v>738</x:v>
      </x:c>
      <x:c r="B1240" s="25">
        <x:v>46113</x:v>
      </x:c>
      <x:c r="C1240" s="45" t="str">
        <x:f t="shared" si="19"/>
        <x:v>ABRIL</x:v>
      </x:c>
      <x:c r="D1240" s="24" t="s">
        <x:v>227</x:v>
      </x:c>
      <x:c r="E1240" s="24" t="s">
        <x:v>190</x:v>
      </x:c>
      <x:c r="F1240" s="24" t="s">
        <x:v>494</x:v>
      </x:c>
      <x:c r="G1240" s="44">
        <x:v>-293.70999999999998</x:v>
      </x:c>
      <x:c r="H1240" s="24" t="s">
        <x:v>82</x:v>
      </x:c>
      <x:c r="I1240" s="24" t="s">
        <x:v>311</x:v>
      </x:c>
      <x:c r="J1240" s="24" t="s">
        <x:v>736</x:v>
      </x:c>
      <x:c r="K1240" s="22" t="s">
        <x:v>11</x:v>
      </x:c>
    </x:row>
    <x:row r="1241" hidden="1">
      <x:c r="A1241" s="24" t="s">
        <x:v>738</x:v>
      </x:c>
      <x:c r="B1241" s="25">
        <x:v>46113</x:v>
      </x:c>
      <x:c r="C1241" s="45" t="str">
        <x:f t="shared" si="19"/>
        <x:v>ABRIL</x:v>
      </x:c>
      <x:c r="D1241" s="24" t="s">
        <x:v>227</x:v>
      </x:c>
      <x:c r="E1241" s="24" t="s">
        <x:v>190</x:v>
      </x:c>
      <x:c r="F1241" s="24" t="s">
        <x:v>66</x:v>
      </x:c>
      <x:c r="G1241" s="44">
        <x:v>-293.70999999999998</x:v>
      </x:c>
      <x:c r="H1241" s="24" t="s">
        <x:v>82</x:v>
      </x:c>
      <x:c r="I1241" s="24" t="s">
        <x:v>311</x:v>
      </x:c>
      <x:c r="J1241" s="24" t="s">
        <x:v>736</x:v>
      </x:c>
      <x:c r="K1241" s="22" t="s">
        <x:v>11</x:v>
      </x:c>
    </x:row>
    <x:row r="1242" hidden="1">
      <x:c r="A1242" s="24" t="s">
        <x:v>738</x:v>
      </x:c>
      <x:c r="B1242" s="25">
        <x:v>46113</x:v>
      </x:c>
      <x:c r="C1242" s="45" t="str">
        <x:f t="shared" si="19"/>
        <x:v>ABRIL</x:v>
      </x:c>
      <x:c r="D1242" s="24" t="s">
        <x:v>227</x:v>
      </x:c>
      <x:c r="E1242" s="24" t="s">
        <x:v>190</x:v>
      </x:c>
      <x:c r="F1242" s="24" t="s">
        <x:v>65</x:v>
      </x:c>
      <x:c r="G1242" s="44">
        <x:v>-293.70999999999998</x:v>
      </x:c>
      <x:c r="H1242" s="24" t="s">
        <x:v>82</x:v>
      </x:c>
      <x:c r="I1242" s="24" t="s">
        <x:v>311</x:v>
      </x:c>
      <x:c r="J1242" s="24" t="s">
        <x:v>736</x:v>
      </x:c>
      <x:c r="K1242" s="22" t="s">
        <x:v>11</x:v>
      </x:c>
    </x:row>
    <x:row r="1243" hidden="1">
      <x:c r="A1243" s="24" t="s">
        <x:v>739</x:v>
      </x:c>
      <x:c r="B1243" s="25">
        <x:v>46113</x:v>
      </x:c>
      <x:c r="C1243" s="45" t="str">
        <x:f t="shared" si="19"/>
        <x:v>ABRIL</x:v>
      </x:c>
      <x:c r="D1243" s="24" t="s">
        <x:v>112</x:v>
      </x:c>
      <x:c r="E1243" s="24" t="s">
        <x:v>660</x:v>
      </x:c>
      <x:c r="F1243" s="24" t="s">
        <x:v>62</x:v>
      </x:c>
      <x:c r="G1243" s="44">
        <x:v>-3851</x:v>
      </x:c>
      <x:c r="H1243" s="24" t="s">
        <x:v>82</x:v>
      </x:c>
      <x:c r="I1243" s="24" t="s">
        <x:v>311</x:v>
      </x:c>
      <x:c r="J1243" s="24" t="s">
        <x:v>736</x:v>
      </x:c>
      <x:c r="K1243" s="22" t="s">
        <x:v>11</x:v>
      </x:c>
    </x:row>
    <x:row r="1244" hidden="1">
      <x:c r="A1244" s="24" t="s">
        <x:v>738</x:v>
      </x:c>
      <x:c r="B1244" s="25">
        <x:v>46113</x:v>
      </x:c>
      <x:c r="C1244" s="45" t="str">
        <x:f t="shared" si="19"/>
        <x:v>ABRIL</x:v>
      </x:c>
      <x:c r="D1244" s="24" t="s">
        <x:v>227</x:v>
      </x:c>
      <x:c r="E1244" s="24" t="s">
        <x:v>190</x:v>
      </x:c>
      <x:c r="F1244" s="24" t="s">
        <x:v>385</x:v>
      </x:c>
      <x:c r="G1244" s="44">
        <x:v>-293.70999999999998</x:v>
      </x:c>
      <x:c r="H1244" s="24" t="s">
        <x:v>82</x:v>
      </x:c>
      <x:c r="I1244" s="24" t="s">
        <x:v>311</x:v>
      </x:c>
      <x:c r="J1244" s="24" t="s">
        <x:v>736</x:v>
      </x:c>
      <x:c r="K1244" s="22" t="s">
        <x:v>11</x:v>
      </x:c>
    </x:row>
    <x:row r="1245" hidden="1">
      <x:c r="A1245" s="24" t="s">
        <x:v>740</x:v>
      </x:c>
      <x:c r="B1245" s="25">
        <x:v>46113</x:v>
      </x:c>
      <x:c r="C1245" s="45" t="str">
        <x:f t="shared" si="19"/>
        <x:v>ABRIL</x:v>
      </x:c>
      <x:c r="D1245" s="24" t="s">
        <x:v>89</x:v>
      </x:c>
      <x:c r="E1245" s="24" t="s">
        <x:v>374</x:v>
      </x:c>
      <x:c r="F1245" s="24" t="s">
        <x:v>66</x:v>
      </x:c>
      <x:c r="G1245" s="44">
        <x:v>10986.8</x:v>
      </x:c>
      <x:c r="H1245" s="24" t="s">
        <x:v>91</x:v>
      </x:c>
      <x:c r="I1245" s="24" t="s">
        <x:v>311</x:v>
      </x:c>
      <x:c r="J1245" s="24" t="s">
        <x:v>741</x:v>
      </x:c>
      <x:c r="K1245" s="22" t="s">
        <x:v>11</x:v>
      </x:c>
    </x:row>
    <x:row r="1246" hidden="1">
      <x:c r="A1246" s="24" t="s">
        <x:v>742</x:v>
      </x:c>
      <x:c r="B1246" s="25">
        <x:v>46113</x:v>
      </x:c>
      <x:c r="C1246" s="45" t="str">
        <x:f t="shared" si="19"/>
        <x:v>ABRIL</x:v>
      </x:c>
      <x:c r="D1246" s="24" t="s">
        <x:v>89</x:v>
      </x:c>
      <x:c r="E1246" s="24" t="s">
        <x:v>446</x:v>
      </x:c>
      <x:c r="F1246" s="24" t="s">
        <x:v>65</x:v>
      </x:c>
      <x:c r="G1246" s="44">
        <x:v>7722</x:v>
      </x:c>
      <x:c r="H1246" s="24" t="s">
        <x:v>91</x:v>
      </x:c>
      <x:c r="I1246" s="24" t="s">
        <x:v>311</x:v>
      </x:c>
      <x:c r="J1246" s="24" t="s">
        <x:v>741</x:v>
      </x:c>
      <x:c r="K1246" s="22" t="s">
        <x:v>11</x:v>
      </x:c>
    </x:row>
    <x:row r="1247" hidden="1">
      <x:c r="A1247" s="24" t="s">
        <x:v>743</x:v>
      </x:c>
      <x:c r="B1247" s="25">
        <x:v>46113</x:v>
      </x:c>
      <x:c r="C1247" s="45" t="str">
        <x:f t="shared" si="19"/>
        <x:v>ABRIL</x:v>
      </x:c>
      <x:c r="D1247" s="24" t="s">
        <x:v>89</x:v>
      </x:c>
      <x:c r="E1247" s="24" t="s">
        <x:v>698</x:v>
      </x:c>
      <x:c r="F1247" s="24" t="s">
        <x:v>65</x:v>
      </x:c>
      <x:c r="G1247" s="44">
        <x:v>10756.9</x:v>
      </x:c>
      <x:c r="H1247" s="24" t="s">
        <x:v>91</x:v>
      </x:c>
      <x:c r="I1247" s="24" t="s">
        <x:v>311</x:v>
      </x:c>
      <x:c r="J1247" s="24" t="s">
        <x:v>744</x:v>
      </x:c>
      <x:c r="K1247" s="22" t="s">
        <x:v>11</x:v>
      </x:c>
    </x:row>
    <x:row r="1248" hidden="1">
      <x:c r="A1248" s="24" t="s">
        <x:v>745</x:v>
      </x:c>
      <x:c r="B1248" s="25">
        <x:v>46113</x:v>
      </x:c>
      <x:c r="C1248" s="45" t="str">
        <x:f t="shared" si="19"/>
        <x:v>ABRIL</x:v>
      </x:c>
      <x:c r="D1248" s="24" t="s">
        <x:v>89</x:v>
      </x:c>
      <x:c r="E1248" s="24" t="s">
        <x:v>678</x:v>
      </x:c>
      <x:c r="F1248" s="24" t="s">
        <x:v>66</x:v>
      </x:c>
      <x:c r="G1248" s="44">
        <x:v>11659</x:v>
      </x:c>
      <x:c r="H1248" s="24" t="s">
        <x:v>91</x:v>
      </x:c>
      <x:c r="I1248" s="24" t="s">
        <x:v>311</x:v>
      </x:c>
      <x:c r="J1248" s="24" t="s">
        <x:v>744</x:v>
      </x:c>
      <x:c r="K1248" s="22" t="s">
        <x:v>11</x:v>
      </x:c>
    </x:row>
    <x:row r="1249" hidden="1">
      <x:c r="A1249" s="24" t="s">
        <x:v>746</x:v>
      </x:c>
      <x:c r="B1249" s="25">
        <x:v>46113</x:v>
      </x:c>
      <x:c r="C1249" s="45" t="str">
        <x:f t="shared" si="19"/>
        <x:v>ABRIL</x:v>
      </x:c>
      <x:c r="D1249" s="24" t="s">
        <x:v>89</x:v>
      </x:c>
      <x:c r="E1249" s="24" t="s">
        <x:v>681</x:v>
      </x:c>
      <x:c r="F1249" s="24" t="s">
        <x:v>44</x:v>
      </x:c>
      <x:c r="G1249" s="44">
        <x:v>4520</x:v>
      </x:c>
      <x:c r="H1249" s="24" t="s">
        <x:v>91</x:v>
      </x:c>
      <x:c r="I1249" s="24" t="s">
        <x:v>311</x:v>
      </x:c>
      <x:c r="J1249" s="24" t="s">
        <x:v>747</x:v>
      </x:c>
      <x:c r="K1249" s="22" t="s">
        <x:v>11</x:v>
      </x:c>
    </x:row>
    <x:row r="1250" hidden="1">
      <x:c r="A1250" s="24" t="s">
        <x:v>748</x:v>
      </x:c>
      <x:c r="B1250" s="25">
        <x:v>46113</x:v>
      </x:c>
      <x:c r="C1250" s="45" t="str">
        <x:f t="shared" si="19"/>
        <x:v>ABRIL</x:v>
      </x:c>
      <x:c r="D1250" s="24" t="s">
        <x:v>89</x:v>
      </x:c>
      <x:c r="E1250" s="24" t="s">
        <x:v>359</x:v>
      </x:c>
      <x:c r="F1250" s="24" t="s">
        <x:v>59</x:v>
      </x:c>
      <x:c r="G1250" s="44">
        <x:v>13261.6</x:v>
      </x:c>
      <x:c r="H1250" s="24" t="s">
        <x:v>91</x:v>
      </x:c>
      <x:c r="I1250" s="24" t="s">
        <x:v>311</x:v>
      </x:c>
      <x:c r="J1250" s="24" t="s">
        <x:v>747</x:v>
      </x:c>
      <x:c r="K1250" s="22" t="s">
        <x:v>11</x:v>
      </x:c>
    </x:row>
    <x:row r="1251" hidden="1">
      <x:c r="A1251" s="24" t="s">
        <x:v>749</x:v>
      </x:c>
      <x:c r="B1251" s="25">
        <x:v>46113</x:v>
      </x:c>
      <x:c r="C1251" s="45" t="str">
        <x:f t="shared" si="19"/>
        <x:v>ABRIL</x:v>
      </x:c>
      <x:c r="D1251" s="24" t="s">
        <x:v>89</x:v>
      </x:c>
      <x:c r="E1251" s="24" t="s">
        <x:v>670</x:v>
      </x:c>
      <x:c r="F1251" s="24" t="s">
        <x:v>59</x:v>
      </x:c>
      <x:c r="G1251" s="44">
        <x:v>13225.3</x:v>
      </x:c>
      <x:c r="H1251" s="24" t="s">
        <x:v>91</x:v>
      </x:c>
      <x:c r="I1251" s="24" t="s">
        <x:v>311</x:v>
      </x:c>
      <x:c r="J1251" s="24" t="s">
        <x:v>750</x:v>
      </x:c>
      <x:c r="K1251" s="22" t="s">
        <x:v>11</x:v>
      </x:c>
    </x:row>
    <x:row r="1252" hidden="1">
      <x:c r="A1252" s="24" t="s">
        <x:v>325</x:v>
      </x:c>
      <x:c r="B1252" s="25">
        <x:v>46113</x:v>
      </x:c>
      <x:c r="C1252" s="45" t="str">
        <x:f t="shared" si="19"/>
        <x:v>ABRIL</x:v>
      </x:c>
      <x:c r="D1252" s="24" t="s">
        <x:v>227</x:v>
      </x:c>
      <x:c r="E1252" s="24" t="s">
        <x:v>170</x:v>
      </x:c>
      <x:c r="F1252" s="24" t="s">
        <x:v>44</x:v>
      </x:c>
      <x:c r="G1252" s="44">
        <x:v>-1550</x:v>
      </x:c>
      <x:c r="H1252" s="24" t="s">
        <x:v>82</x:v>
      </x:c>
      <x:c r="I1252" s="24" t="s">
        <x:v>311</x:v>
      </x:c>
      <x:c r="J1252" s="27" t="s">
        <x:v>751</x:v>
      </x:c>
      <x:c r="K1252" s="22" t="s">
        <x:v>11</x:v>
      </x:c>
    </x:row>
    <x:row r="1253" hidden="1">
      <x:c r="A1253" s="24" t="s">
        <x:v>325</x:v>
      </x:c>
      <x:c r="B1253" s="25">
        <x:v>46113</x:v>
      </x:c>
      <x:c r="C1253" s="45" t="str">
        <x:f t="shared" si="19"/>
        <x:v>ABRIL</x:v>
      </x:c>
      <x:c r="D1253" s="24" t="s">
        <x:v>227</x:v>
      </x:c>
      <x:c r="E1253" s="24" t="s">
        <x:v>170</x:v>
      </x:c>
      <x:c r="F1253" s="24" t="s">
        <x:v>65</x:v>
      </x:c>
      <x:c r="G1253" s="44">
        <x:v>-1550</x:v>
      </x:c>
      <x:c r="H1253" s="24" t="s">
        <x:v>82</x:v>
      </x:c>
      <x:c r="I1253" s="24" t="s">
        <x:v>311</x:v>
      </x:c>
      <x:c r="J1253" s="27" t="s">
        <x:v>751</x:v>
      </x:c>
      <x:c r="K1253" s="22" t="s">
        <x:v>11</x:v>
      </x:c>
    </x:row>
    <x:row r="1254" hidden="1">
      <x:c r="A1254" s="24" t="s">
        <x:v>309</x:v>
      </x:c>
      <x:c r="B1254" s="25">
        <x:v>46113</x:v>
      </x:c>
      <x:c r="C1254" s="45" t="str">
        <x:f t="shared" si="19"/>
        <x:v>ABRIL</x:v>
      </x:c>
      <x:c r="D1254" s="24" t="s">
        <x:v>227</x:v>
      </x:c>
      <x:c r="E1254" s="24" t="s">
        <x:v>704</x:v>
      </x:c>
      <x:c r="F1254" s="24" t="s">
        <x:v>59</x:v>
      </x:c>
      <x:c r="G1254" s="44">
        <x:v>-8492.4599999999991</x:v>
      </x:c>
      <x:c r="H1254" s="24" t="s">
        <x:v>82</x:v>
      </x:c>
      <x:c r="I1254" s="24" t="s">
        <x:v>311</x:v>
      </x:c>
      <x:c r="J1254" s="24" t="s">
        <x:v>751</x:v>
      </x:c>
      <x:c r="K1254" s="22" t="s">
        <x:v>11</x:v>
      </x:c>
    </x:row>
    <x:row r="1255" hidden="1">
      <x:c r="A1255" s="24" t="s">
        <x:v>309</x:v>
      </x:c>
      <x:c r="B1255" s="25">
        <x:v>46113</x:v>
      </x:c>
      <x:c r="C1255" s="45" t="str">
        <x:f t="shared" si="19"/>
        <x:v>ABRIL</x:v>
      </x:c>
      <x:c r="D1255" s="24" t="s">
        <x:v>227</x:v>
      </x:c>
      <x:c r="E1255" s="24" t="s">
        <x:v>704</x:v>
      </x:c>
      <x:c r="F1255" s="24" t="s">
        <x:v>44</x:v>
      </x:c>
      <x:c r="G1255" s="44">
        <x:v>-2474.91</x:v>
      </x:c>
      <x:c r="H1255" s="24" t="s">
        <x:v>82</x:v>
      </x:c>
      <x:c r="I1255" s="24" t="s">
        <x:v>311</x:v>
      </x:c>
      <x:c r="J1255" s="24" t="s">
        <x:v>751</x:v>
      </x:c>
      <x:c r="K1255" s="22" t="s">
        <x:v>11</x:v>
      </x:c>
    </x:row>
    <x:row r="1256" hidden="1">
      <x:c r="A1256" s="24" t="s">
        <x:v>309</x:v>
      </x:c>
      <x:c r="B1256" s="25">
        <x:v>46113</x:v>
      </x:c>
      <x:c r="C1256" s="45" t="str">
        <x:f t="shared" si="19"/>
        <x:v>ABRIL</x:v>
      </x:c>
      <x:c r="D1256" s="24" t="s">
        <x:v>227</x:v>
      </x:c>
      <x:c r="E1256" s="24" t="s">
        <x:v>704</x:v>
      </x:c>
      <x:c r="F1256" s="24" t="s">
        <x:v>65</x:v>
      </x:c>
      <x:c r="G1256" s="44">
        <x:v>-4630.5</x:v>
      </x:c>
      <x:c r="H1256" s="24" t="s">
        <x:v>82</x:v>
      </x:c>
      <x:c r="I1256" s="24" t="s">
        <x:v>311</x:v>
      </x:c>
      <x:c r="J1256" s="24" t="s">
        <x:v>751</x:v>
      </x:c>
      <x:c r="K1256" s="22" t="s">
        <x:v>11</x:v>
      </x:c>
    </x:row>
    <x:row r="1257" hidden="1">
      <x:c r="A1257" s="24" t="s">
        <x:v>309</x:v>
      </x:c>
      <x:c r="B1257" s="25">
        <x:v>46113</x:v>
      </x:c>
      <x:c r="C1257" s="45" t="str">
        <x:f t="shared" si="19"/>
        <x:v>ABRIL</x:v>
      </x:c>
      <x:c r="D1257" s="24" t="s">
        <x:v>227</x:v>
      </x:c>
      <x:c r="E1257" s="24" t="s">
        <x:v>704</x:v>
      </x:c>
      <x:c r="F1257" s="24" t="s">
        <x:v>66</x:v>
      </x:c>
      <x:c r="G1257" s="44">
        <x:v>-6613.48</x:v>
      </x:c>
      <x:c r="H1257" s="24" t="s">
        <x:v>82</x:v>
      </x:c>
      <x:c r="I1257" s="24" t="s">
        <x:v>311</x:v>
      </x:c>
      <x:c r="J1257" s="24" t="s">
        <x:v>751</x:v>
      </x:c>
      <x:c r="K1257" s="22" t="s">
        <x:v>11</x:v>
      </x:c>
    </x:row>
    <x:row r="1258" hidden="1">
      <x:c r="A1258" s="24" t="s">
        <x:v>335</x:v>
      </x:c>
      <x:c r="B1258" s="25">
        <x:v>46113</x:v>
      </x:c>
      <x:c r="C1258" s="45" t="str">
        <x:f t="shared" si="19"/>
        <x:v>ABRIL</x:v>
      </x:c>
      <x:c r="D1258" s="24" t="s">
        <x:v>132</x:v>
      </x:c>
      <x:c r="E1258" s="24" t="s">
        <x:v>336</x:v>
      </x:c>
      <x:c r="F1258" s="24" t="s">
        <x:v>314</x:v>
      </x:c>
      <x:c r="G1258" s="44">
        <x:v>-6498.36</x:v>
      </x:c>
      <x:c r="H1258" s="24" t="s">
        <x:v>82</x:v>
      </x:c>
      <x:c r="I1258" s="24" t="s">
        <x:v>311</x:v>
      </x:c>
      <x:c r="J1258" s="24" t="s">
        <x:v>751</x:v>
      </x:c>
      <x:c r="K1258" s="22" t="s">
        <x:v>11</x:v>
      </x:c>
    </x:row>
    <x:row r="1259" hidden="1">
      <x:c r="A1259" s="24" t="s">
        <x:v>738</x:v>
      </x:c>
      <x:c r="B1259" s="25">
        <x:v>46113</x:v>
      </x:c>
      <x:c r="C1259" s="45" t="str">
        <x:f t="shared" si="19"/>
        <x:v>ABRIL</x:v>
      </x:c>
      <x:c r="D1259" s="24" t="s">
        <x:v>227</x:v>
      </x:c>
      <x:c r="E1259" s="24" t="s">
        <x:v>190</x:v>
      </x:c>
      <x:c r="F1259" s="24" t="s">
        <x:v>314</x:v>
      </x:c>
      <x:c r="G1259" s="44">
        <x:v>-293.70999999999998</x:v>
      </x:c>
      <x:c r="H1259" s="24" t="s">
        <x:v>82</x:v>
      </x:c>
      <x:c r="I1259" s="24" t="s">
        <x:v>311</x:v>
      </x:c>
      <x:c r="J1259" s="24" t="s">
        <x:v>751</x:v>
      </x:c>
      <x:c r="K1259" s="22" t="s">
        <x:v>11</x:v>
      </x:c>
    </x:row>
    <x:row r="1260" hidden="1">
      <x:c r="A1260" s="24" t="s">
        <x:v>738</x:v>
      </x:c>
      <x:c r="B1260" s="25">
        <x:v>46113</x:v>
      </x:c>
      <x:c r="C1260" s="45" t="str">
        <x:f t="shared" si="19"/>
        <x:v>ABRIL</x:v>
      </x:c>
      <x:c r="D1260" s="24" t="s">
        <x:v>227</x:v>
      </x:c>
      <x:c r="E1260" s="24" t="s">
        <x:v>190</x:v>
      </x:c>
      <x:c r="F1260" s="24" t="s">
        <x:v>389</x:v>
      </x:c>
      <x:c r="G1260" s="44">
        <x:v>-293.70999999999998</x:v>
      </x:c>
      <x:c r="H1260" s="24" t="s">
        <x:v>82</x:v>
      </x:c>
      <x:c r="I1260" s="24" t="s">
        <x:v>311</x:v>
      </x:c>
      <x:c r="J1260" s="24" t="s">
        <x:v>751</x:v>
      </x:c>
      <x:c r="K1260" s="22" t="s">
        <x:v>11</x:v>
      </x:c>
    </x:row>
    <x:row r="1261" hidden="1">
      <x:c r="A1261" s="24" t="s">
        <x:v>752</x:v>
      </x:c>
      <x:c r="B1261" s="25">
        <x:v>46113</x:v>
      </x:c>
      <x:c r="C1261" s="45" t="str">
        <x:f t="shared" si="19"/>
        <x:v>ABRIL</x:v>
      </x:c>
      <x:c r="D1261" s="24" t="s">
        <x:v>89</x:v>
      </x:c>
      <x:c r="E1261" s="24" t="s">
        <x:v>753</x:v>
      </x:c>
      <x:c r="F1261" s="24" t="s">
        <x:v>65</x:v>
      </x:c>
      <x:c r="G1261" s="44">
        <x:v>10769</x:v>
      </x:c>
      <x:c r="H1261" s="24" t="s">
        <x:v>91</x:v>
      </x:c>
      <x:c r="I1261" s="24" t="s">
        <x:v>311</x:v>
      </x:c>
      <x:c r="J1261" s="24" t="s">
        <x:v>754</x:v>
      </x:c>
      <x:c r="K1261" s="22" t="s">
        <x:v>11</x:v>
      </x:c>
    </x:row>
    <x:row r="1262" hidden="1">
      <x:c r="A1262" s="24" t="s">
        <x:v>755</x:v>
      </x:c>
      <x:c r="B1262" s="25">
        <x:v>46113</x:v>
      </x:c>
      <x:c r="C1262" s="45" t="str">
        <x:f t="shared" si="19"/>
        <x:v>ABRIL</x:v>
      </x:c>
      <x:c r="D1262" s="24" t="s">
        <x:v>112</x:v>
      </x:c>
      <x:c r="E1262" s="24" t="s">
        <x:v>658</x:v>
      </x:c>
      <x:c r="F1262" s="24" t="s">
        <x:v>62</x:v>
      </x:c>
      <x:c r="G1262" s="44">
        <x:v>-20000</x:v>
      </x:c>
      <x:c r="H1262" s="24" t="s">
        <x:v>82</x:v>
      </x:c>
      <x:c r="I1262" s="24" t="s">
        <x:v>311</x:v>
      </x:c>
      <x:c r="J1262" s="23">
        <x:v>46140</x:v>
      </x:c>
      <x:c r="K1262" s="22" t="s">
        <x:v>11</x:v>
      </x:c>
    </x:row>
    <x:row r="1263" hidden="1">
      <x:c r="A1263" s="24" t="s">
        <x:v>337</x:v>
      </x:c>
      <x:c r="B1263" s="25">
        <x:v>46113</x:v>
      </x:c>
      <x:c r="C1263" s="45" t="str">
        <x:f t="shared" si="19"/>
        <x:v>ABRIL</x:v>
      </x:c>
      <x:c r="D1263" s="24" t="s">
        <x:v>227</x:v>
      </x:c>
      <x:c r="E1263" s="24" t="s">
        <x:v>338</x:v>
      </x:c>
      <x:c r="F1263" s="24" t="s">
        <x:v>314</x:v>
      </x:c>
      <x:c r="G1263" s="44">
        <x:v>-666</x:v>
      </x:c>
      <x:c r="H1263" s="24" t="s">
        <x:v>82</x:v>
      </x:c>
      <x:c r="I1263" s="24" t="s">
        <x:v>311</x:v>
      </x:c>
      <x:c r="J1263" s="24" t="s">
        <x:v>750</x:v>
      </x:c>
      <x:c r="K1263" s="22" t="s">
        <x:v>11</x:v>
      </x:c>
    </x:row>
    <x:row r="1264" hidden="1">
      <x:c r="A1264" s="24" t="s">
        <x:v>337</x:v>
      </x:c>
      <x:c r="B1264" s="25">
        <x:v>46113</x:v>
      </x:c>
      <x:c r="C1264" s="45" t="str">
        <x:f t="shared" si="19"/>
        <x:v>ABRIL</x:v>
      </x:c>
      <x:c r="D1264" s="24" t="s">
        <x:v>227</x:v>
      </x:c>
      <x:c r="E1264" s="24" t="s">
        <x:v>338</x:v>
      </x:c>
      <x:c r="F1264" s="24" t="s">
        <x:v>389</x:v>
      </x:c>
      <x:c r="G1264" s="44">
        <x:v>-1388.67</x:v>
      </x:c>
      <x:c r="H1264" s="24" t="s">
        <x:v>82</x:v>
      </x:c>
      <x:c r="I1264" s="24" t="s">
        <x:v>311</x:v>
      </x:c>
      <x:c r="J1264" s="24" t="s">
        <x:v>750</x:v>
      </x:c>
      <x:c r="K1264" s="22" t="s">
        <x:v>11</x:v>
      </x:c>
    </x:row>
    <x:row r="1265" hidden="1">
      <x:c r="A1265" s="24" t="s">
        <x:v>337</x:v>
      </x:c>
      <x:c r="B1265" s="25">
        <x:v>46113</x:v>
      </x:c>
      <x:c r="C1265" s="45" t="str">
        <x:f t="shared" si="19"/>
        <x:v>ABRIL</x:v>
      </x:c>
      <x:c r="D1265" s="24" t="s">
        <x:v>227</x:v>
      </x:c>
      <x:c r="E1265" s="24" t="s">
        <x:v>170</x:v>
      </x:c>
      <x:c r="F1265" s="24" t="s">
        <x:v>44</x:v>
      </x:c>
      <x:c r="G1265" s="44">
        <x:v>-687.64</x:v>
      </x:c>
      <x:c r="H1265" s="24" t="s">
        <x:v>82</x:v>
      </x:c>
      <x:c r="I1265" s="24" t="s">
        <x:v>311</x:v>
      </x:c>
      <x:c r="J1265" s="24" t="s">
        <x:v>750</x:v>
      </x:c>
      <x:c r="K1265" s="22" t="s">
        <x:v>11</x:v>
      </x:c>
    </x:row>
    <x:row r="1266" hidden="1">
      <x:c r="A1266" s="24" t="s">
        <x:v>309</x:v>
      </x:c>
      <x:c r="B1266" s="25">
        <x:v>46113</x:v>
      </x:c>
      <x:c r="C1266" s="45" t="str">
        <x:f t="shared" si="19"/>
        <x:v>ABRIL</x:v>
      </x:c>
      <x:c r="D1266" s="24" t="s">
        <x:v>227</x:v>
      </x:c>
      <x:c r="E1266" s="24" t="s">
        <x:v>737</x:v>
      </x:c>
      <x:c r="F1266" s="24" t="s">
        <x:v>65</x:v>
      </x:c>
      <x:c r="G1266" s="44">
        <x:v>-2408.5300000000002</x:v>
      </x:c>
      <x:c r="H1266" s="24" t="s">
        <x:v>82</x:v>
      </x:c>
      <x:c r="I1266" s="24" t="s">
        <x:v>311</x:v>
      </x:c>
      <x:c r="J1266" s="24" t="s">
        <x:v>750</x:v>
      </x:c>
      <x:c r="K1266" s="22" t="s">
        <x:v>11</x:v>
      </x:c>
    </x:row>
    <x:row r="1267" hidden="1">
      <x:c r="A1267" s="24" t="s">
        <x:v>309</x:v>
      </x:c>
      <x:c r="B1267" s="25">
        <x:v>46113</x:v>
      </x:c>
      <x:c r="C1267" s="45" t="str">
        <x:f t="shared" si="19"/>
        <x:v>ABRIL</x:v>
      </x:c>
      <x:c r="D1267" s="24" t="s">
        <x:v>227</x:v>
      </x:c>
      <x:c r="E1267" s="24" t="s">
        <x:v>737</x:v>
      </x:c>
      <x:c r="F1267" s="24" t="s">
        <x:v>66</x:v>
      </x:c>
      <x:c r="G1267" s="44">
        <x:v>-4737.2700000000004</x:v>
      </x:c>
      <x:c r="H1267" s="24" t="s">
        <x:v>82</x:v>
      </x:c>
      <x:c r="I1267" s="24" t="s">
        <x:v>311</x:v>
      </x:c>
      <x:c r="J1267" s="24" t="s">
        <x:v>750</x:v>
      </x:c>
      <x:c r="K1267" s="22" t="s">
        <x:v>11</x:v>
      </x:c>
    </x:row>
    <x:row r="1268" hidden="1">
      <x:c r="A1268" s="24" t="s">
        <x:v>756</x:v>
      </x:c>
      <x:c r="B1268" s="25">
        <x:v>46113</x:v>
      </x:c>
      <x:c r="C1268" s="45" t="str">
        <x:f t="shared" si="19"/>
        <x:v>ABRIL</x:v>
      </x:c>
      <x:c r="D1268" s="24" t="s">
        <x:v>89</x:v>
      </x:c>
      <x:c r="E1268" s="24" t="s">
        <x:v>374</x:v>
      </x:c>
      <x:c r="F1268" s="24" t="s">
        <x:v>44</x:v>
      </x:c>
      <x:c r="G1268" s="44">
        <x:v>14447.4</x:v>
      </x:c>
      <x:c r="H1268" s="24" t="s">
        <x:v>91</x:v>
      </x:c>
      <x:c r="I1268" s="24" t="s">
        <x:v>311</x:v>
      </x:c>
      <x:c r="J1268" s="24" t="s">
        <x:v>750</x:v>
      </x:c>
      <x:c r="K1268" s="22" t="s">
        <x:v>11</x:v>
      </x:c>
    </x:row>
    <x:row r="1269" hidden="1">
      <x:c r="A1269" s="24" t="s">
        <x:v>315</x:v>
      </x:c>
      <x:c r="B1269" s="25">
        <x:v>46113</x:v>
      </x:c>
      <x:c r="C1269" s="45" t="str">
        <x:f t="shared" si="19"/>
        <x:v>ABRIL</x:v>
      </x:c>
      <x:c r="D1269" s="24" t="s">
        <x:v>162</x:v>
      </x:c>
      <x:c r="E1269" s="24" t="s">
        <x:v>10</x:v>
      </x:c>
      <x:c r="F1269" s="24" t="s">
        <x:v>44</x:v>
      </x:c>
      <x:c r="G1269" s="44">
        <x:v>-2800</x:v>
      </x:c>
      <x:c r="H1269" s="24" t="s">
        <x:v>82</x:v>
      </x:c>
      <x:c r="I1269" s="24" t="s">
        <x:v>311</x:v>
      </x:c>
      <x:c r="J1269" s="24" t="s">
        <x:v>754</x:v>
      </x:c>
      <x:c r="K1269" s="22" t="s">
        <x:v>11</x:v>
      </x:c>
    </x:row>
    <x:row r="1270" hidden="1">
      <x:c r="A1270" s="24" t="s">
        <x:v>325</x:v>
      </x:c>
      <x:c r="B1270" s="25">
        <x:v>46113</x:v>
      </x:c>
      <x:c r="C1270" s="45" t="str">
        <x:f t="shared" si="19"/>
        <x:v>ABRIL</x:v>
      </x:c>
      <x:c r="D1270" s="24" t="s">
        <x:v>227</x:v>
      </x:c>
      <x:c r="E1270" s="24" t="s">
        <x:v>693</x:v>
      </x:c>
      <x:c r="F1270" s="24" t="s">
        <x:v>389</x:v>
      </x:c>
      <x:c r="G1270" s="44">
        <x:v>-317</x:v>
      </x:c>
      <x:c r="H1270" s="24" t="s">
        <x:v>82</x:v>
      </x:c>
      <x:c r="I1270" s="24" t="s">
        <x:v>311</x:v>
      </x:c>
      <x:c r="J1270" s="24" t="s">
        <x:v>754</x:v>
      </x:c>
      <x:c r="K1270" s="22" t="s">
        <x:v>11</x:v>
      </x:c>
    </x:row>
    <x:row r="1271" hidden="1">
      <x:c r="A1271" s="24" t="s">
        <x:v>325</x:v>
      </x:c>
      <x:c r="B1271" s="25">
        <x:v>46113</x:v>
      </x:c>
      <x:c r="C1271" s="45" t="str">
        <x:f t="shared" si="19"/>
        <x:v>ABRIL</x:v>
      </x:c>
      <x:c r="D1271" s="24" t="s">
        <x:v>227</x:v>
      </x:c>
      <x:c r="E1271" s="24" t="s">
        <x:v>517</x:v>
      </x:c>
      <x:c r="F1271" s="24" t="s">
        <x:v>494</x:v>
      </x:c>
      <x:c r="G1271" s="44">
        <x:v>-2631.61</x:v>
      </x:c>
      <x:c r="H1271" s="24" t="s">
        <x:v>82</x:v>
      </x:c>
      <x:c r="I1271" s="24" t="s">
        <x:v>311</x:v>
      </x:c>
      <x:c r="J1271" s="24" t="s">
        <x:v>754</x:v>
      </x:c>
      <x:c r="K1271" s="22" t="s">
        <x:v>11</x:v>
      </x:c>
    </x:row>
    <x:row r="1272" hidden="1">
      <x:c r="A1272" s="24" t="s">
        <x:v>454</x:v>
      </x:c>
      <x:c r="B1272" s="25">
        <x:v>46113</x:v>
      </x:c>
      <x:c r="C1272" s="45" t="str">
        <x:f t="shared" si="19"/>
        <x:v>ABRIL</x:v>
      </x:c>
      <x:c r="D1272" s="24" t="s">
        <x:v>80</x:v>
      </x:c>
      <x:c r="E1272" s="24" t="s">
        <x:v>23</x:v>
      </x:c>
      <x:c r="F1272" s="24" t="s">
        <x:v>65</x:v>
      </x:c>
      <x:c r="G1272" s="44">
        <x:v>-53.63</x:v>
      </x:c>
      <x:c r="H1272" s="24" t="s">
        <x:v>82</x:v>
      </x:c>
      <x:c r="I1272" s="24" t="s">
        <x:v>311</x:v>
      </x:c>
      <x:c r="J1272" s="24" t="s">
        <x:v>754</x:v>
      </x:c>
      <x:c r="K1272" s="22" t="s">
        <x:v>11</x:v>
      </x:c>
    </x:row>
    <x:row r="1273" hidden="1">
      <x:c r="A1273" s="24" t="s">
        <x:v>454</x:v>
      </x:c>
      <x:c r="B1273" s="25">
        <x:v>46113</x:v>
      </x:c>
      <x:c r="C1273" s="45" t="str">
        <x:f t="shared" si="19"/>
        <x:v>ABRIL</x:v>
      </x:c>
      <x:c r="D1273" s="24" t="s">
        <x:v>80</x:v>
      </x:c>
      <x:c r="E1273" s="24" t="s">
        <x:v>58</x:v>
      </x:c>
      <x:c r="F1273" s="24" t="s">
        <x:v>59</x:v>
      </x:c>
      <x:c r="G1273" s="44">
        <x:v>-53.63</x:v>
      </x:c>
      <x:c r="H1273" s="24" t="s">
        <x:v>82</x:v>
      </x:c>
      <x:c r="I1273" s="24" t="s">
        <x:v>311</x:v>
      </x:c>
      <x:c r="J1273" s="24" t="s">
        <x:v>754</x:v>
      </x:c>
      <x:c r="K1273" s="22" t="s">
        <x:v>11</x:v>
      </x:c>
    </x:row>
    <x:row r="1274" hidden="1">
      <x:c r="A1274" s="24" t="s">
        <x:v>454</x:v>
      </x:c>
      <x:c r="B1274" s="25">
        <x:v>46113</x:v>
      </x:c>
      <x:c r="C1274" s="45" t="str">
        <x:f t="shared" si="19"/>
        <x:v>ABRIL</x:v>
      </x:c>
      <x:c r="D1274" s="24" t="s">
        <x:v>80</x:v>
      </x:c>
      <x:c r="E1274" s="24" t="s">
        <x:v>24</x:v>
      </x:c>
      <x:c r="F1274" s="24" t="s">
        <x:v>66</x:v>
      </x:c>
      <x:c r="G1274" s="44">
        <x:v>-53.63</x:v>
      </x:c>
      <x:c r="H1274" s="24" t="s">
        <x:v>82</x:v>
      </x:c>
      <x:c r="I1274" s="24" t="s">
        <x:v>311</x:v>
      </x:c>
      <x:c r="J1274" s="24" t="s">
        <x:v>754</x:v>
      </x:c>
      <x:c r="K1274" s="22" t="s">
        <x:v>11</x:v>
      </x:c>
    </x:row>
    <x:row r="1275" hidden="1">
      <x:c r="A1275" s="24" t="s">
        <x:v>454</x:v>
      </x:c>
      <x:c r="B1275" s="25">
        <x:v>46113</x:v>
      </x:c>
      <x:c r="C1275" s="45" t="str">
        <x:f t="shared" si="19"/>
        <x:v>ABRIL</x:v>
      </x:c>
      <x:c r="D1275" s="24" t="s">
        <x:v>80</x:v>
      </x:c>
      <x:c r="E1275" s="24" t="s">
        <x:v>40</x:v>
      </x:c>
      <x:c r="F1275" s="24" t="s">
        <x:v>44</x:v>
      </x:c>
      <x:c r="G1275" s="44">
        <x:v>-53.63</x:v>
      </x:c>
      <x:c r="H1275" s="24" t="s">
        <x:v>82</x:v>
      </x:c>
      <x:c r="I1275" s="24" t="s">
        <x:v>311</x:v>
      </x:c>
      <x:c r="J1275" s="24" t="s">
        <x:v>754</x:v>
      </x:c>
      <x:c r="K1275" s="22" t="s">
        <x:v>11</x:v>
      </x:c>
    </x:row>
    <x:row r="1276" hidden="1">
      <x:c r="A1276" s="24" t="s">
        <x:v>454</x:v>
      </x:c>
      <x:c r="B1276" s="25">
        <x:v>46113</x:v>
      </x:c>
      <x:c r="C1276" s="45" t="str">
        <x:f t="shared" si="19"/>
        <x:v>ABRIL</x:v>
      </x:c>
      <x:c r="D1276" s="24" t="s">
        <x:v>80</x:v>
      </x:c>
      <x:c r="E1276" s="24" t="s">
        <x:v>757</x:v>
      </x:c>
      <x:c r="F1276" s="24" t="s">
        <x:v>314</x:v>
      </x:c>
      <x:c r="G1276" s="44">
        <x:v>-53.63</x:v>
      </x:c>
      <x:c r="H1276" s="24" t="s">
        <x:v>82</x:v>
      </x:c>
      <x:c r="I1276" s="24" t="s">
        <x:v>311</x:v>
      </x:c>
      <x:c r="J1276" s="24" t="s">
        <x:v>754</x:v>
      </x:c>
      <x:c r="K1276" s="22" t="s">
        <x:v>11</x:v>
      </x:c>
    </x:row>
    <x:row r="1277" hidden="1">
      <x:c r="A1277" s="24" t="s">
        <x:v>325</x:v>
      </x:c>
      <x:c r="B1277" s="25">
        <x:v>46113</x:v>
      </x:c>
      <x:c r="C1277" s="45" t="str">
        <x:f t="shared" si="19"/>
        <x:v>ABRIL</x:v>
      </x:c>
      <x:c r="D1277" s="24" t="s">
        <x:v>227</x:v>
      </x:c>
      <x:c r="E1277" s="24" t="s">
        <x:v>693</x:v>
      </x:c>
      <x:c r="F1277" s="24" t="s">
        <x:v>389</x:v>
      </x:c>
      <x:c r="G1277" s="44">
        <x:v>-311.2</x:v>
      </x:c>
      <x:c r="H1277" s="24" t="s">
        <x:v>82</x:v>
      </x:c>
      <x:c r="I1277" s="24" t="s">
        <x:v>311</x:v>
      </x:c>
      <x:c r="J1277" s="24" t="s">
        <x:v>754</x:v>
      </x:c>
      <x:c r="K1277" s="22" t="s">
        <x:v>11</x:v>
      </x:c>
    </x:row>
    <x:row r="1278" hidden="1">
      <x:c r="A1278" s="24" t="s">
        <x:v>325</x:v>
      </x:c>
      <x:c r="B1278" s="25">
        <x:v>46113</x:v>
      </x:c>
      <x:c r="C1278" s="45" t="str">
        <x:f t="shared" si="19"/>
        <x:v>ABRIL</x:v>
      </x:c>
      <x:c r="D1278" s="24" t="s">
        <x:v>227</x:v>
      </x:c>
      <x:c r="E1278" s="24" t="s">
        <x:v>693</x:v>
      </x:c>
      <x:c r="F1278" s="24" t="s">
        <x:v>66</x:v>
      </x:c>
      <x:c r="G1278" s="44">
        <x:v>-630.5</x:v>
      </x:c>
      <x:c r="H1278" s="24" t="s">
        <x:v>82</x:v>
      </x:c>
      <x:c r="I1278" s="24" t="s">
        <x:v>311</x:v>
      </x:c>
      <x:c r="J1278" s="24" t="s">
        <x:v>754</x:v>
      </x:c>
      <x:c r="K1278" s="22" t="s">
        <x:v>11</x:v>
      </x:c>
    </x:row>
    <x:row r="1279" hidden="1">
      <x:c r="A1279" s="24" t="s">
        <x:v>357</x:v>
      </x:c>
      <x:c r="B1279" s="25">
        <x:v>46113</x:v>
      </x:c>
      <x:c r="C1279" s="45" t="str">
        <x:f t="shared" si="19"/>
        <x:v>ABRIL</x:v>
      </x:c>
      <x:c r="D1279" s="24" t="s">
        <x:v>227</x:v>
      </x:c>
      <x:c r="E1279" s="24" t="s">
        <x:v>693</x:v>
      </x:c>
      <x:c r="F1279" s="24" t="s">
        <x:v>59</x:v>
      </x:c>
      <x:c r="G1279" s="44">
        <x:v>-136</x:v>
      </x:c>
      <x:c r="H1279" s="24" t="s">
        <x:v>82</x:v>
      </x:c>
      <x:c r="I1279" s="24" t="s">
        <x:v>311</x:v>
      </x:c>
      <x:c r="J1279" s="24" t="s">
        <x:v>754</x:v>
      </x:c>
      <x:c r="K1279" s="22" t="s">
        <x:v>11</x:v>
      </x:c>
    </x:row>
    <x:row r="1280" hidden="1">
      <x:c r="A1280" s="24" t="s">
        <x:v>758</x:v>
      </x:c>
      <x:c r="B1280" s="25">
        <x:v>46113</x:v>
      </x:c>
      <x:c r="C1280" s="45" t="str">
        <x:f t="shared" si="19"/>
        <x:v>ABRIL</x:v>
      </x:c>
      <x:c r="D1280" s="24" t="s">
        <x:v>89</x:v>
      </x:c>
      <x:c r="E1280" s="24" t="s">
        <x:v>678</x:v>
      </x:c>
      <x:c r="F1280" s="24" t="s">
        <x:v>44</x:v>
      </x:c>
      <x:c r="G1280" s="44">
        <x:v>14200.4</x:v>
      </x:c>
      <x:c r="H1280" s="24" t="s">
        <x:v>91</x:v>
      </x:c>
      <x:c r="I1280" s="24" t="s">
        <x:v>311</x:v>
      </x:c>
      <x:c r="J1280" s="24" t="s">
        <x:v>754</x:v>
      </x:c>
      <x:c r="K1280" s="22" t="s">
        <x:v>11</x:v>
      </x:c>
    </x:row>
    <x:row r="1281" hidden="1">
      <x:c r="A1281" s="24" t="s">
        <x:v>759</x:v>
      </x:c>
      <x:c r="B1281" s="25">
        <x:v>46113</x:v>
      </x:c>
      <x:c r="C1281" s="45" t="str">
        <x:f t="shared" si="19"/>
        <x:v>ABRIL</x:v>
      </x:c>
      <x:c r="D1281" s="24" t="s">
        <x:v>89</x:v>
      </x:c>
      <x:c r="E1281" s="24" t="s">
        <x:v>712</x:v>
      </x:c>
      <x:c r="F1281" s="24" t="s">
        <x:v>66</x:v>
      </x:c>
      <x:c r="G1281" s="44">
        <x:v>10563.3</x:v>
      </x:c>
      <x:c r="H1281" s="24" t="s">
        <x:v>91</x:v>
      </x:c>
      <x:c r="I1281" s="24" t="s">
        <x:v>311</x:v>
      </x:c>
      <x:c r="J1281" s="24" t="s">
        <x:v>754</x:v>
      </x:c>
      <x:c r="K1281" s="22" t="s">
        <x:v>11</x:v>
      </x:c>
    </x:row>
    <x:row r="1282" hidden="1">
      <x:c r="A1282" s="24" t="s">
        <x:v>315</x:v>
      </x:c>
      <x:c r="B1282" s="25">
        <x:v>46113</x:v>
      </x:c>
      <x:c r="C1282" s="45" t="str">
        <x:f t="shared" ref="C1282:C1285" si="20">UPPER(TEXT(B1282,"MMMM"))</x:f>
        <x:v>APRIL</x:v>
      </x:c>
      <x:c r="D1282" s="24" t="s">
        <x:v>162</x:v>
      </x:c>
      <x:c r="E1282" s="24" t="s">
        <x:v>24</x:v>
      </x:c>
      <x:c r="F1282" s="24" t="s">
        <x:v>66</x:v>
      </x:c>
      <x:c r="G1282" s="44">
        <x:v>-4000</x:v>
      </x:c>
      <x:c r="H1282" s="24" t="s">
        <x:v>82</x:v>
      </x:c>
      <x:c r="I1282" s="24" t="s">
        <x:v>311</x:v>
      </x:c>
      <x:c r="J1282" s="24" t="s">
        <x:v>754</x:v>
      </x:c>
      <x:c r="K1282" s="22" t="s">
        <x:v>11</x:v>
      </x:c>
    </x:row>
    <x:row r="1283" hidden="1">
      <x:c r="A1283" s="24" t="s">
        <x:v>315</x:v>
      </x:c>
      <x:c r="B1283" s="25">
        <x:v>46113</x:v>
      </x:c>
      <x:c r="C1283" s="45" t="str">
        <x:f t="shared" si="20"/>
        <x:v>ABRIL</x:v>
      </x:c>
      <x:c r="D1283" s="24" t="s">
        <x:v>162</x:v>
      </x:c>
      <x:c r="E1283" s="24" t="s">
        <x:v>23</x:v>
      </x:c>
      <x:c r="F1283" s="24" t="s">
        <x:v>65</x:v>
      </x:c>
      <x:c r="G1283" s="44">
        <x:v>-4000</x:v>
      </x:c>
      <x:c r="H1283" s="24" t="s">
        <x:v>82</x:v>
      </x:c>
      <x:c r="I1283" s="24" t="s">
        <x:v>311</x:v>
      </x:c>
      <x:c r="J1283" s="24" t="s">
        <x:v>754</x:v>
      </x:c>
      <x:c r="K1283" s="22" t="s">
        <x:v>11</x:v>
      </x:c>
    </x:row>
    <x:row r="1284" hidden="1">
      <x:c r="A1284" s="24" t="s">
        <x:v>315</x:v>
      </x:c>
      <x:c r="B1284" s="25">
        <x:v>46113</x:v>
      </x:c>
      <x:c r="C1284" s="45" t="str">
        <x:f t="shared" si="20"/>
        <x:v>ABRIL</x:v>
      </x:c>
      <x:c r="D1284" s="24" t="s">
        <x:v>162</x:v>
      </x:c>
      <x:c r="E1284" s="24" t="s">
        <x:v>649</x:v>
      </x:c>
      <x:c r="F1284" s="24" t="s">
        <x:v>314</x:v>
      </x:c>
      <x:c r="G1284" s="44">
        <x:v>-2400</x:v>
      </x:c>
      <x:c r="H1284" s="24" t="s">
        <x:v>82</x:v>
      </x:c>
      <x:c r="I1284" s="24" t="s">
        <x:v>311</x:v>
      </x:c>
      <x:c r="J1284" s="24" t="s">
        <x:v>754</x:v>
      </x:c>
      <x:c r="K1284" s="22" t="s">
        <x:v>11</x:v>
      </x:c>
    </x:row>
    <x:row r="1285" hidden="1">
      <x:c r="A1285" s="24" t="s">
        <x:v>315</x:v>
      </x:c>
      <x:c r="B1285" s="25">
        <x:v>46113</x:v>
      </x:c>
      <x:c r="C1285" s="45" t="str">
        <x:f t="shared" si="20"/>
        <x:v>ABRIL</x:v>
      </x:c>
      <x:c r="D1285" s="24" t="s">
        <x:v>162</x:v>
      </x:c>
      <x:c r="E1285" s="24" t="s">
        <x:v>13</x:v>
      </x:c>
      <x:c r="F1285" s="24" t="s">
        <x:v>59</x:v>
      </x:c>
      <x:c r="G1285" s="44">
        <x:v>-4000</x:v>
      </x:c>
      <x:c r="H1285" s="24" t="s">
        <x:v>82</x:v>
      </x:c>
      <x:c r="I1285" s="24" t="s">
        <x:v>311</x:v>
      </x:c>
      <x:c r="J1285" s="24" t="s">
        <x:v>754</x:v>
      </x:c>
      <x:c r="K1285" s="22" t="s">
        <x:v>11</x:v>
      </x:c>
    </x:row>
  </x:sheetData>
  <x:conditionalFormatting sqref="B341:B341">
    <x:cfRule type="cellIs" dxfId="6" priority="4" operator="equal">
      <x:formula>"pendente"</x:formula>
    </x:cfRule>
  </x:conditionalFormatting>
  <x:conditionalFormatting sqref="F1286:F1048576">
    <x:cfRule type="cellIs" dxfId="5" priority="8" operator="lessThan">
      <x:formula>0</x:formula>
    </x:cfRule>
    <x:cfRule type="cellIs" dxfId="4" priority="9" operator="greaterThan">
      <x:formula>0</x:formula>
    </x:cfRule>
  </x:conditionalFormatting>
  <x:conditionalFormatting sqref="G2:G1285">
    <x:cfRule type="cellIs" dxfId="3" priority="2" operator="lessThan">
      <x:formula>0</x:formula>
    </x:cfRule>
    <x:cfRule type="cellIs" dxfId="2" priority="3" operator="greaterThan">
      <x:formula>0</x:formula>
    </x:cfRule>
  </x:conditionalFormatting>
  <x:conditionalFormatting sqref="H1286:H1048576">
    <x:cfRule type="cellIs" dxfId="1" priority="10" operator="equal">
      <x:formula>"programado"</x:formula>
    </x:cfRule>
  </x:conditionalFormatting>
  <x:conditionalFormatting sqref="I2:I1285">
    <x:cfRule type="cellIs" dxfId="0" priority="1" operator="equal">
      <x:formula>"programado"</x:formula>
    </x:cfRule>
  </x:conditionalFormatting>
  <x:dataValidations count="1">
    <x:dataValidation type="list" allowBlank="1" showInputMessage="1" showErrorMessage="1" sqref="I341">
      <x:formula1>#REF!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1.25" hidden="0" customWidth="1"/>
    <x:col min="3" max="3" width="12.5" hidden="0" customWidth="1"/>
    <x:col min="4" max="4" width="20" hidden="0" customWidth="1"/>
    <x:col min="5" max="5" width="13.75" hidden="0" customWidth="1"/>
    <x:col min="6" max="6" width="13.75" hidden="0" customWidth="1"/>
    <x:col min="7" max="7" width="13.75" hidden="0" customWidth="1"/>
    <x:col min="8" max="8" width="2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8.1299991607666" hidden="0" customWidth="1"/>
    <x:col min="14" max="14" width="33.130001068115234" hidden="0" customWidth="1"/>
  </x:cols>
  <x:sheetData>
    <x:row r="1" ht="24" customHeight="1">
      <x:c r="A1" s="56" t="str">
        <x:v>ID</x:v>
      </x:c>
      <x:c r="B1" s="56" t="str">
        <x:v>DataHora</x:v>
      </x:c>
      <x:c r="C1" s="56" t="str">
        <x:v>Data</x:v>
      </x:c>
      <x:c r="D1" s="56" t="str">
        <x:v>Motorista</x:v>
      </x:c>
      <x:c r="E1" s="56" t="str">
        <x:v>Empresa</x:v>
      </x:c>
      <x:c r="F1" s="56" t="str">
        <x:v>Placa Cavalo</x:v>
      </x:c>
      <x:c r="G1" s="56" t="str">
        <x:v>Placa Carreta</x:v>
      </x:c>
      <x:c r="H1" s="56" t="str">
        <x:v>Categoria</x:v>
      </x:c>
      <x:c r="I1" s="56" t="str">
        <x:v>KM Inicial</x:v>
      </x:c>
      <x:c r="J1" s="56" t="str">
        <x:v>KM Final</x:v>
      </x:c>
      <x:c r="K1" s="56" t="str">
        <x:v>KM Rodado</x:v>
      </x:c>
      <x:c r="L1" s="56" t="str">
        <x:v>Caixinha</x:v>
      </x:c>
      <x:c r="M1" s="56" t="str">
        <x:v>Quantidade Carregada</x:v>
      </x:c>
      <x:c r="N1" s="56" t="str">
        <x:v>Chave NF Carregamento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3.75" hidden="0" customWidth="1"/>
    <x:col min="3" max="3" width="21.25" hidden="0" customWidth="1"/>
    <x:col min="4" max="4" width="12.5" hidden="0" customWidth="1"/>
    <x:col min="5" max="5" width="20" hidden="0" customWidth="1"/>
    <x:col min="6" max="6" width="13.75" hidden="0" customWidth="1"/>
    <x:col min="7" max="7" width="13.75" hidden="0" customWidth="1"/>
    <x:col min="8" max="8" width="11.25" hidden="0" customWidth="1"/>
    <x:col min="9" max="9" width="11.25" hidden="0" customWidth="1"/>
    <x:col min="10" max="10" width="13.75" hidden="0" customWidth="1"/>
    <x:col min="11" max="11" width="33.130001068115234" hidden="0" customWidth="1"/>
  </x:cols>
  <x:sheetData>
    <x:row r="1" ht="24" customHeight="1">
      <x:c r="A1" s="56" t="str">
        <x:v>ID</x:v>
      </x:c>
      <x:c r="B1" s="56" t="str">
        <x:v>Viagem ID</x:v>
      </x:c>
      <x:c r="C1" s="56" t="str">
        <x:v>DataHora</x:v>
      </x:c>
      <x:c r="D1" s="56" t="str">
        <x:v>Data</x:v>
      </x:c>
      <x:c r="E1" s="56" t="str">
        <x:v>Motorista</x:v>
      </x:c>
      <x:c r="F1" s="56" t="str">
        <x:v>Empresa</x:v>
      </x:c>
      <x:c r="G1" s="56" t="str">
        <x:v>Placa Cavalo</x:v>
      </x:c>
      <x:c r="H1" s="56" t="str">
        <x:v>KM</x:v>
      </x:c>
      <x:c r="I1" s="56" t="str">
        <x:v>Litros</x:v>
      </x:c>
      <x:c r="J1" s="56" t="str">
        <x:v>Valor Diesel</x:v>
      </x:c>
      <x:c r="K1" s="56" t="str">
        <x:v>Chave NF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5" hidden="0" customWidth="1"/>
    <x:col min="3" max="3" width="15" hidden="0" customWidth="1"/>
    <x:col min="4" max="4" width="22.5" hidden="0" customWidth="1"/>
    <x:col min="5" max="5" width="10" hidden="0" customWidth="1"/>
    <x:col min="6" max="6" width="21.25" hidden="0" customWidth="1"/>
  </x:cols>
  <x:sheetData>
    <x:row r="1" ht="24" customHeight="1">
      <x:c r="A1" s="56" t="str">
        <x:v>ID</x:v>
      </x:c>
      <x:c r="B1" s="56" t="str">
        <x:v>Nome</x:v>
      </x:c>
      <x:c r="C1" s="56" t="str">
        <x:v>Empresa</x:v>
      </x:c>
      <x:c r="D1" s="56" t="str">
        <x:v>Categoria</x:v>
      </x:c>
      <x:c r="E1" s="56" t="str">
        <x:v>Ativo</x:v>
      </x:c>
      <x:c r="F1" s="56" t="str">
        <x:v>Atualizado em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6.25" hidden="0" customWidth="1"/>
    <x:col min="3" max="3" width="10" hidden="0" customWidth="1"/>
    <x:col min="4" max="4" width="21.25" hidden="0" customWidth="1"/>
  </x:cols>
  <x:sheetData>
    <x:row r="1" ht="24" customHeight="1">
      <x:c r="A1" s="56" t="str">
        <x:v>ID</x:v>
      </x:c>
      <x:c r="B1" s="56" t="str">
        <x:v>Placa</x:v>
      </x:c>
      <x:c r="C1" s="56" t="str">
        <x:v>Ativo</x:v>
      </x:c>
      <x:c r="D1" s="56" t="str">
        <x:v>Atualizado em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6.25" hidden="0" customWidth="1"/>
    <x:col min="3" max="3" width="10" hidden="0" customWidth="1"/>
    <x:col min="4" max="4" width="21.25" hidden="0" customWidth="1"/>
  </x:cols>
  <x:sheetData>
    <x:row r="1" ht="24" customHeight="1">
      <x:c r="A1" s="56" t="str">
        <x:v>ID</x:v>
      </x:c>
      <x:c r="B1" s="56" t="str">
        <x:v>Placa</x:v>
      </x:c>
      <x:c r="C1" s="56" t="str">
        <x:v>Ativo</x:v>
      </x:c>
      <x:c r="D1" s="56" t="str">
        <x:v>Atualizado em</x:v>
      </x:c>
    </x:row>
  </x:sheetData>
  <x:pageMargins left="0.7" right="0.7" top="0.75" bottom="0.75" header="0.3" footer="0.3"/>
</x:worksheet>
</file>